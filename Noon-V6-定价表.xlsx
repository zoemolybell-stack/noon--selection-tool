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Config" sheetId="1" r:id="rId1"/>
    <sheet name="UAE_Pricing" sheetId="2" r:id="rId2"/>
    <sheet name="KSA_Pricing" sheetId="3" r:id="rId3"/>
  </sheets>
  <definedNames>
    <definedName name="UAE_VAT">Config!$B$3</definedName>
    <definedName name="KSA_VAT">Config!$B$4</definedName>
    <definedName name="UAE_Exch">Config!$B$5</definedName>
    <definedName name="KSA_Exch">Config!$B$6</definedName>
    <definedName name="UAE_Restock">Config!$B$7</definedName>
    <definedName name="KSA_Restock">Config!$B$8</definedName>
    <definedName name="FBP_DeliveryMode">Config!$B$9</definedName>
    <definedName name="UAE_StorageRate">Config!$B$10</definedName>
    <definedName name="KSA_StorageRate">Config!$B$11</definedName>
    <definedName name="USD_AED">Config!$B$12</definedName>
    <definedName name="USD_SAR">Config!$B$13</definedName>
    <definedName name="CBF_Divisor">Config!$B$14</definedName>
    <definedName name="GCC_DefaultDuty">Config!$B$15</definedName>
    <definedName name="KSA_ClearanceFeeRate">Config!$B$16</definedName>
    <definedName name="KSA_ClearanceFeeMin">Config!$B$17</definedName>
    <definedName name="KSA_ClearanceFeeMax">Config!$B$18</definedName>
    <definedName name="CrossBorderFeeRate">Config!$B$19</definedName>
    <definedName name="Comm_Table">Config!$A$24:$Q$81</definedName>
    <definedName name="FBN_SizeTiers">Config!$A$86:$F$92</definedName>
    <definedName name="FBN_UAE_Fees">Config!$A$97:$D$155</definedName>
    <definedName name="FBN_KSA_Fees">Config!$A$160:$D$217</definedName>
    <definedName name="FBP_Fees">Config!$A$222:$E$238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<sst xmlns="http://schemas.openxmlformats.org/spreadsheetml/2006/main" count="733" uniqueCount="270">
  <si>
    <t>全局变量 GLOBAL VARIABLES</t>
  </si>
  <si>
    <t>参数名称</t>
  </si>
  <si>
    <t>值</t>
  </si>
  <si>
    <t>说明</t>
  </si>
  <si>
    <t>Named Range</t>
  </si>
  <si>
    <t>UAE_VAT</t>
  </si>
  <si>
    <t>阿联酋增值税</t>
  </si>
  <si>
    <t>KSA_VAT</t>
  </si>
  <si>
    <t>沙特增值税</t>
  </si>
  <si>
    <t>UAE_Exch (AED→CNY)</t>
  </si>
  <si>
    <t>阿联酋汇率</t>
  </si>
  <si>
    <t>UAE_Exch</t>
  </si>
  <si>
    <t>KSA_Exch (SAR→CNY)</t>
  </si>
  <si>
    <t>沙特汇率</t>
  </si>
  <si>
    <t>KSA_Exch</t>
  </si>
  <si>
    <t>UAE_Restock (AED)</t>
  </si>
  <si>
    <t>退货上架费</t>
  </si>
  <si>
    <t>UAE_Restock</t>
  </si>
  <si>
    <t>KSA_Restock (SAR)</t>
  </si>
  <si>
    <t>KSA_Restock</t>
  </si>
  <si>
    <t>FBP_DeliveryMode</t>
  </si>
  <si>
    <t>Drop-off</t>
  </si>
  <si>
    <t>FBP交货方式切换</t>
  </si>
  <si>
    <t>UAE_StorageRate</t>
  </si>
  <si>
    <t>AED/CBF/月</t>
  </si>
  <si>
    <t>KSA_StorageRate</t>
  </si>
  <si>
    <t>SAR/CBF/月</t>
  </si>
  <si>
    <t>USD_AED</t>
  </si>
  <si>
    <t>美元/迪拉姆汇率</t>
  </si>
  <si>
    <t>USD_SAR</t>
  </si>
  <si>
    <t>美元/里亚尔汇率</t>
  </si>
  <si>
    <t>CBF_Divisor</t>
  </si>
  <si>
    <t>立方英尺换算</t>
  </si>
  <si>
    <t>GCC_DefaultDuty</t>
  </si>
  <si>
    <t>GCC默认关税率5%</t>
  </si>
  <si>
    <t>KSA_ClearanceFeeRate</t>
  </si>
  <si>
    <t>清关服务费率0.15%</t>
  </si>
  <si>
    <t>KSA_ClearanceFeeMin</t>
  </si>
  <si>
    <t>清关服务费最低SAR</t>
  </si>
  <si>
    <t>KSA_ClearanceFeeMax</t>
  </si>
  <si>
    <t>清关服务费最高SAR</t>
  </si>
  <si>
    <t>CrossBorderFeeRate</t>
  </si>
  <si>
    <t>跨境费=5%</t>
  </si>
  <si>
    <t>佣金表 COMMISSION TABLE (FBN/FBP分列)</t>
  </si>
  <si>
    <t>类目 Category</t>
  </si>
  <si>
    <t>UAE_FBN Type</t>
  </si>
  <si>
    <t>UAE_FBN Base</t>
  </si>
  <si>
    <t>UAE_FBN Limit</t>
  </si>
  <si>
    <t>UAE_FBN Tier</t>
  </si>
  <si>
    <t>UAE_FBP Type</t>
  </si>
  <si>
    <t>UAE_FBP Base</t>
  </si>
  <si>
    <t>UAE_FBP Limit</t>
  </si>
  <si>
    <t>UAE_FBP Tier</t>
  </si>
  <si>
    <t>KSA_FBN Type</t>
  </si>
  <si>
    <t>KSA_FBN Base</t>
  </si>
  <si>
    <t>KSA_FBN Limit</t>
  </si>
  <si>
    <t>KSA_FBN Tier</t>
  </si>
  <si>
    <t>KSA_FBP Type</t>
  </si>
  <si>
    <t>KSA_FBP Base</t>
  </si>
  <si>
    <t>KSA_FBP Limit</t>
  </si>
  <si>
    <t>KSA_FBP Tier</t>
  </si>
  <si>
    <t>服装/鞋履 Apparel/Footwear</t>
  </si>
  <si>
    <t>Fixed</t>
  </si>
  <si>
    <t>旅行箱包 Bags:Luggage</t>
  </si>
  <si>
    <t>其他包袋 Bags:Other</t>
  </si>
  <si>
    <t>手表 Watches</t>
  </si>
  <si>
    <t>Sliding</t>
  </si>
  <si>
    <t>眼镜 Eyewear</t>
  </si>
  <si>
    <t>高级珠宝 Jewelry:Fine</t>
  </si>
  <si>
    <t>时尚饰品 Jewelry:Fashion</t>
  </si>
  <si>
    <t>金条/金币 Gold Bars</t>
  </si>
  <si>
    <t>银条 Silver Bars</t>
  </si>
  <si>
    <t>手机/平板 Mobiles/Tablets</t>
  </si>
  <si>
    <t>Threshold</t>
  </si>
  <si>
    <t>苹果/三星国际版</t>
  </si>
  <si>
    <t>SIM卡 SIM Cards</t>
  </si>
  <si>
    <t>触控笔 Stylus Pens</t>
  </si>
  <si>
    <t>笔记本/台式机 Laptops</t>
  </si>
  <si>
    <t>内存卡 Memory Cards</t>
  </si>
  <si>
    <t>U盘 USB Flash</t>
  </si>
  <si>
    <t>硬盘/SSD Storage</t>
  </si>
  <si>
    <t>网络配件 Network</t>
  </si>
  <si>
    <t>显示器/显卡 Monitors/GPU</t>
  </si>
  <si>
    <t>其他电脑硬件 PC Hardware</t>
  </si>
  <si>
    <t>软件 Software</t>
  </si>
  <si>
    <t>电脑包 Laptop Bags</t>
  </si>
  <si>
    <t>打印机/扫描仪 Printers</t>
  </si>
  <si>
    <t>其他办公电子 Office Electronics</t>
  </si>
  <si>
    <t>手机配件≤50 Phone Acc≤50</t>
  </si>
  <si>
    <t>手机配件&gt;50 Phone Acc&gt;50</t>
  </si>
  <si>
    <t>耳机 Headphones</t>
  </si>
  <si>
    <t>AR/VR眼镜</t>
  </si>
  <si>
    <t>智能手表/穿戴 Smartwatches</t>
  </si>
  <si>
    <t>相机/镜头 Cameras</t>
  </si>
  <si>
    <t>电视 TVs</t>
  </si>
  <si>
    <t>投影/流媒体 Projectors</t>
  </si>
  <si>
    <t>游戏主机 Consoles</t>
  </si>
  <si>
    <t>视频游戏 Video Games</t>
  </si>
  <si>
    <t>游戏配件 Gaming Acc</t>
  </si>
  <si>
    <t>大型家电 Large Appliances</t>
  </si>
  <si>
    <t>小型家电 Small Appliances</t>
  </si>
  <si>
    <t>香水 Fragrance</t>
  </si>
  <si>
    <t>彩妆-白牌 Makeup Generic</t>
  </si>
  <si>
    <t>彩妆-品牌 Makeup Branded</t>
  </si>
  <si>
    <t>个护-通用 Personal Care Generic</t>
  </si>
  <si>
    <t>个护-品牌 Personal Care Branded</t>
  </si>
  <si>
    <t>健康营养品≤50 Health≤50</t>
  </si>
  <si>
    <t>健康营养品&gt;50 Health&gt;50</t>
  </si>
  <si>
    <t>清洁卫浴 Cleaning</t>
  </si>
  <si>
    <t>厨具/床品/卫浴/装饰 Home</t>
  </si>
  <si>
    <t>家具 Furniture</t>
  </si>
  <si>
    <t>运动户外 Sports</t>
  </si>
  <si>
    <t>玩具 Toys</t>
  </si>
  <si>
    <t>母婴 Baby Products</t>
  </si>
  <si>
    <t>图书 Books</t>
  </si>
  <si>
    <t>办公文具 Office Supplies</t>
  </si>
  <si>
    <t>汽配电子 Auto Electronics</t>
  </si>
  <si>
    <t>汽配零件 Auto Parts</t>
  </si>
  <si>
    <t>杂货非食品 Grocery Non-Food</t>
  </si>
  <si>
    <t>礼品卡 Gift Cards</t>
  </si>
  <si>
    <t>宠物用品 Pet Supplies</t>
  </si>
  <si>
    <t>其他通用 General/Other</t>
  </si>
  <si>
    <t>FBN 尺寸分层定义 SIZE TIERS</t>
  </si>
  <si>
    <t>层级名称</t>
  </si>
  <si>
    <t>最大L(cm)</t>
  </si>
  <si>
    <t>最大W(cm)</t>
  </si>
  <si>
    <t>最大H(cm)</t>
  </si>
  <si>
    <t>包装附加(kg)</t>
  </si>
  <si>
    <t>最大计费重(kg)</t>
  </si>
  <si>
    <t>Small Envelope</t>
  </si>
  <si>
    <t>Standard Envelope</t>
  </si>
  <si>
    <t>Large Envelope</t>
  </si>
  <si>
    <t>Standard Parcel</t>
  </si>
  <si>
    <t>Oversize</t>
  </si>
  <si>
    <t>Extra Oversize</t>
  </si>
  <si>
    <t>Bulky</t>
  </si>
  <si>
    <t>FBN 出库费 UAE (AED/件)</t>
  </si>
  <si>
    <t>尺寸层级</t>
  </si>
  <si>
    <t>最大重量(kg)</t>
  </si>
  <si>
    <t>ASP≤25</t>
  </si>
  <si>
    <t>ASP&gt;25</t>
  </si>
  <si>
    <t>FBN 出库费 KSA (SAR/件)</t>
  </si>
  <si>
    <t>FBP 配送费 (Drop-off / Pick-up)</t>
  </si>
  <si>
    <t>UAE Drop-off</t>
  </si>
  <si>
    <t>UAE Pick-up</t>
  </si>
  <si>
    <t>KSA Drop-off</t>
  </si>
  <si>
    <t>KSA Pick-up</t>
  </si>
  <si>
    <t>FBP 运费补贴规则 REIMBURSEMENT</t>
  </si>
  <si>
    <t>国家/条件</t>
  </si>
  <si>
    <t>订单金额范围</t>
  </si>
  <si>
    <t>补贴金额</t>
  </si>
  <si>
    <t>UAE</t>
  </si>
  <si>
    <t>&lt; 100 AED</t>
  </si>
  <si>
    <t>10 AED</t>
  </si>
  <si>
    <t>≥ 100 AED</t>
  </si>
  <si>
    <t>0</t>
  </si>
  <si>
    <t>KSA</t>
  </si>
  <si>
    <t>&lt; 100 SAR</t>
  </si>
  <si>
    <t>12 SAR</t>
  </si>
  <si>
    <t>100-500 SAR</t>
  </si>
  <si>
    <t>6 SAR</t>
  </si>
  <si>
    <t>&gt; 500 SAR</t>
  </si>
  <si>
    <t>GCC 关税税率参考表 (仅供查阅)</t>
  </si>
  <si>
    <t>品类/HS编码章节</t>
  </si>
  <si>
    <t>关税税率</t>
  </si>
  <si>
    <t>备注</t>
  </si>
  <si>
    <t>电子/3C (第84-85章)</t>
  </si>
  <si>
    <t>5%</t>
  </si>
  <si>
    <t>标准税率</t>
  </si>
  <si>
    <t>服装/鞋类 (第61-64章)</t>
  </si>
  <si>
    <t>部分纺织品12%</t>
  </si>
  <si>
    <t>美妆/个护 (第33章)</t>
  </si>
  <si>
    <t>家居/厨具 (第39-76章)</t>
  </si>
  <si>
    <t>家具 (第94章)</t>
  </si>
  <si>
    <t>5%-15%</t>
  </si>
  <si>
    <t>⚠ 部分家具15%</t>
  </si>
  <si>
    <t>帐篷/遮阳篷</t>
  </si>
  <si>
    <t>15%</t>
  </si>
  <si>
    <t>户外品类注意</t>
  </si>
  <si>
    <t>部分纺织品</t>
  </si>
  <si>
    <t>12%</t>
  </si>
  <si>
    <t>约294项保护性商品</t>
  </si>
  <si>
    <t>玩具 (第95章)</t>
  </si>
  <si>
    <t>箱包 (第42章)</t>
  </si>
  <si>
    <t>手表 (第91章)</t>
  </si>
  <si>
    <t>GCC 各国 VAT 税率</t>
  </si>
  <si>
    <t>国家</t>
  </si>
  <si>
    <t>VAT税率</t>
  </si>
  <si>
    <t>KSA 沙特</t>
  </si>
  <si>
    <t>UAE 阿联酋</t>
  </si>
  <si>
    <t>Bahrain 巴林</t>
  </si>
  <si>
    <t>10%</t>
  </si>
  <si>
    <t>Oman 阿曼</t>
  </si>
  <si>
    <t>Kuwait 科威特</t>
  </si>
  <si>
    <t>0% (暂未实施)</t>
  </si>
  <si>
    <t>Qatar 卡塔尔</t>
  </si>
  <si>
    <t>📝 产品信息输入区</t>
  </si>
  <si>
    <t>🟣 利润总览</t>
  </si>
  <si>
    <t>📊 共享计算</t>
  </si>
  <si>
    <t>🔵 FBN 官方仓</t>
  </si>
  <si>
    <t>🟠 海外仓FBP</t>
  </si>
  <si>
    <t>🟢 直邮FBP</t>
  </si>
  <si>
    <t>🔴 Global跨境 (UAE→KSA)</t>
  </si>
  <si>
    <t>SKU编号</t>
  </si>
  <si>
    <t>品名</t>
  </si>
  <si>
    <t>采购价(CNY)</t>
  </si>
  <si>
    <t>海运头程(CNY/m³)</t>
  </si>
  <si>
    <t>直邮头程(CNY/kg)</t>
  </si>
  <si>
    <t>直邮操作费(CNY/件)</t>
  </si>
  <si>
    <t>长L(cm)</t>
  </si>
  <si>
    <t>宽W(cm)</t>
  </si>
  <si>
    <t>高H(cm)</t>
  </si>
  <si>
    <t>实重(kg)</t>
  </si>
  <si>
    <t>售价(AED)</t>
  </si>
  <si>
    <t>广告占比(%)</t>
  </si>
  <si>
    <t>退货率(%)</t>
  </si>
  <si>
    <t>FBN净利(CNY)</t>
  </si>
  <si>
    <t>FBN利润率</t>
  </si>
  <si>
    <t>海外仓FBP净利(CNY)</t>
  </si>
  <si>
    <t>海外仓FBP利润率</t>
  </si>
  <si>
    <t>直邮FBP净利(CNY)</t>
  </si>
  <si>
    <t>直邮FBP利润率</t>
  </si>
  <si>
    <t>Global净利(CNY)</t>
  </si>
  <si>
    <t>Global利润率</t>
  </si>
  <si>
    <t>最优模式</t>
  </si>
  <si>
    <t>最优利润(CNY)</t>
  </si>
  <si>
    <t>关税税率(%)</t>
  </si>
  <si>
    <t>体积重(kg)</t>
  </si>
  <si>
    <t>FBP计费重(kg)</t>
  </si>
  <si>
    <t>FBN尺寸层级</t>
  </si>
  <si>
    <t>FBN包装附加(kg)</t>
  </si>
  <si>
    <t>FBN计费重(kg)</t>
  </si>
  <si>
    <t>VAT(AED)</t>
  </si>
  <si>
    <t>FBN佣金(AED)</t>
  </si>
  <si>
    <t>FBP佣金(AED)</t>
  </si>
  <si>
    <t>头程(CNY)</t>
  </si>
  <si>
    <t>出库费(AED)</t>
  </si>
  <si>
    <t>佣金VAT(AED)</t>
  </si>
  <si>
    <t>广告费(AED)</t>
  </si>
  <si>
    <t>退货费(AED)</t>
  </si>
  <si>
    <t>退货摊销</t>
  </si>
  <si>
    <t>物流损耗</t>
  </si>
  <si>
    <t>总成本(CNY)</t>
  </si>
  <si>
    <t>FBP配送费(AED)</t>
  </si>
  <si>
    <t>补贴(AED)</t>
  </si>
  <si>
    <t>CIF税前价(SAR)</t>
  </si>
  <si>
    <t>关税(SAR)</t>
  </si>
  <si>
    <t>清关服务费(SAR)</t>
  </si>
  <si>
    <t>进口VAT(SAR)</t>
  </si>
  <si>
    <t>KSA自动售价(SAR)</t>
  </si>
  <si>
    <t>跨境费(AED)</t>
  </si>
  <si>
    <t>佣金(AED)</t>
  </si>
  <si>
    <t>物流损耗(SAR)</t>
  </si>
  <si>
    <r>
      <t xml:space="preserve">📝 </t>
    </r>
    <r>
      <rPr>
        <b/>
        <sz val="12"/>
        <color theme="1"/>
        <rFont val="宋体-简"/>
        <charset val="134"/>
      </rPr>
      <t>产品信息输入区</t>
    </r>
  </si>
  <si>
    <r>
      <t xml:space="preserve">🟣 </t>
    </r>
    <r>
      <rPr>
        <b/>
        <sz val="12"/>
        <color theme="1"/>
        <rFont val="宋体-简"/>
        <charset val="134"/>
      </rPr>
      <t>利润总览</t>
    </r>
  </si>
  <si>
    <r>
      <t xml:space="preserve">📊 </t>
    </r>
    <r>
      <rPr>
        <b/>
        <sz val="12"/>
        <color theme="1"/>
        <rFont val="宋体-简"/>
        <charset val="134"/>
      </rPr>
      <t>共享计算</t>
    </r>
  </si>
  <si>
    <r>
      <t xml:space="preserve">🔵 FBN </t>
    </r>
    <r>
      <rPr>
        <b/>
        <sz val="12"/>
        <color theme="1"/>
        <rFont val="宋体-简"/>
        <charset val="134"/>
      </rPr>
      <t>官方仓</t>
    </r>
  </si>
  <si>
    <r>
      <t xml:space="preserve">🟠 </t>
    </r>
    <r>
      <rPr>
        <b/>
        <sz val="12"/>
        <color theme="1"/>
        <rFont val="宋体-简"/>
        <charset val="134"/>
      </rPr>
      <t>海外仓</t>
    </r>
    <r>
      <rPr>
        <b/>
        <sz val="12"/>
        <color theme="1"/>
        <rFont val="Calibri"/>
        <charset val="134"/>
      </rPr>
      <t>FBP</t>
    </r>
  </si>
  <si>
    <r>
      <t xml:space="preserve">🟢 </t>
    </r>
    <r>
      <rPr>
        <b/>
        <sz val="12"/>
        <color theme="1"/>
        <rFont val="宋体-简"/>
        <charset val="134"/>
      </rPr>
      <t>直邮</t>
    </r>
    <r>
      <rPr>
        <b/>
        <sz val="12"/>
        <color theme="1"/>
        <rFont val="Calibri"/>
        <charset val="134"/>
      </rPr>
      <t>FBP</t>
    </r>
  </si>
  <si>
    <r>
      <t>🔴 Global</t>
    </r>
    <r>
      <rPr>
        <b/>
        <sz val="12"/>
        <color theme="1"/>
        <rFont val="宋体-简"/>
        <charset val="134"/>
      </rPr>
      <t>跨境</t>
    </r>
    <r>
      <rPr>
        <b/>
        <sz val="12"/>
        <color theme="1"/>
        <rFont val="Calibri"/>
        <charset val="134"/>
      </rPr>
      <t xml:space="preserve"> (UAE</t>
    </r>
    <r>
      <rPr>
        <b/>
        <sz val="12"/>
        <color theme="1"/>
        <rFont val="宋体-简"/>
        <charset val="134"/>
      </rPr>
      <t>→</t>
    </r>
    <r>
      <rPr>
        <b/>
        <sz val="12"/>
        <color theme="1"/>
        <rFont val="Calibri"/>
        <charset val="134"/>
      </rPr>
      <t>KSA)</t>
    </r>
  </si>
  <si>
    <t>售价(SAR)</t>
  </si>
  <si>
    <t>VAT(SAR)</t>
  </si>
  <si>
    <t>FBN佣金(SAR)</t>
  </si>
  <si>
    <t>FBP佣金(SAR)</t>
  </si>
  <si>
    <t>出库费(SAR)</t>
  </si>
  <si>
    <t>佣金VAT(SAR)</t>
  </si>
  <si>
    <t>广告费(SAR)</t>
  </si>
  <si>
    <t>退货费(SAR)</t>
  </si>
  <si>
    <t>FBP配送费(SAR)</t>
  </si>
  <si>
    <t>补贴(SAR)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</si>
</sst>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]\ #,##0.00"/>
    <numFmt numFmtId="177" formatCode="0.0%"/>
  </numFmts>
  <fonts count="28">
    <font>
      <sz val="11"/>
      <color theme="1"/>
      <name val="宋体"/>
      <charset val="134"/>
      <scheme val="minor"/>
    </font>
    <font>
      <b/>
      <sz val="12"/>
      <color theme="1"/>
      <name val="Calibri"/>
      <charset val="134"/>
    </font>
    <font>
      <b/>
      <sz val="10"/>
      <name val="Calibri"/>
      <charset val="134"/>
    </font>
    <font>
      <sz val="11"/>
      <color theme="1"/>
      <name val="宋体"/>
      <charset val="134"/>
      <scheme val="minor"/>
    </font>
    <font>
      <sz val="10"/>
      <name val="Calibri"/>
      <charset val="134"/>
    </font>
    <font>
      <b/>
      <sz val="12"/>
      <color rgb="FFFFFFFF"/>
      <name val="Calibri"/>
      <charset val="134"/>
    </font>
    <font>
      <b/>
      <sz val="11"/>
      <color rgb="FFFFFFFF"/>
      <name val="Calibri"/>
      <charset val="134"/>
    </font>
    <font>
      <sz val="9"/>
      <color rgb="FF80808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宋体-简"/>
      <charset val="134"/>
    </font>
  </fonts>
  <fills count="46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E4DFEC"/>
        <bgColor rgb="FFE4DFEC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D5E8D4"/>
        <bgColor rgb="FFD5E8D4"/>
      </patternFill>
    </fill>
    <fill>
      <patternFill patternType="solid">
        <fgColor rgb="FFF2DCDB"/>
        <bgColor rgb="FFF2DCDB"/>
      </patternFill>
    </fill>
    <fill>
      <patternFill patternType="solid">
        <fgColor rgb="FFFFFF00"/>
        <bgColor rgb="FFE4DFEC"/>
      </patternFill>
    </fill>
    <fill>
      <patternFill patternType="solid">
        <fgColor theme="9" tint="0.6"/>
        <bgColor rgb="FFE4DFEC"/>
      </patternFill>
    </fill>
    <fill>
      <patternFill patternType="solid">
        <fgColor rgb="FFFFF2CC"/>
        <bgColor rgb="FFFFF2CC"/>
      </patternFill>
    </fill>
    <fill>
      <patternFill patternType="solid">
        <fgColor theme="7" tint="0.8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8" fillId="17" borderId="5" applyNumberFormat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</cellStyleXfs>
  <cellXfs count="72">
    <xf numFmtId="0" fontId="0" fillId="0" borderId="0" xfId="0"/>
    <xf numFmtId="0" fontId="0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176" fontId="3" fillId="12" borderId="1" xfId="0" applyNumberFormat="1" applyFont="1" applyFill="1" applyBorder="1" applyAlignment="1"/>
    <xf numFmtId="0" fontId="3" fillId="12" borderId="1" xfId="0" applyFont="1" applyFill="1" applyBorder="1" applyAlignment="1"/>
    <xf numFmtId="0" fontId="4" fillId="11" borderId="1" xfId="0" applyFont="1" applyFill="1" applyBorder="1" applyAlignment="1">
      <alignment horizontal="center" vertical="center" wrapText="1"/>
    </xf>
    <xf numFmtId="9" fontId="4" fillId="11" borderId="1" xfId="0" applyNumberFormat="1" applyFont="1" applyFill="1" applyBorder="1" applyAlignment="1">
      <alignment horizontal="center" vertical="center" wrapText="1"/>
    </xf>
    <xf numFmtId="2" fontId="0" fillId="3" borderId="1" xfId="0" applyNumberFormat="1" applyFill="1" applyBorder="1"/>
    <xf numFmtId="10" fontId="0" fillId="3" borderId="1" xfId="0" applyNumberFormat="1" applyFill="1" applyBorder="1"/>
    <xf numFmtId="0" fontId="0" fillId="3" borderId="1" xfId="0" applyFill="1" applyBorder="1"/>
    <xf numFmtId="9" fontId="4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2" fontId="0" fillId="6" borderId="1" xfId="0" applyNumberFormat="1" applyFill="1" applyBorder="1"/>
    <xf numFmtId="2" fontId="0" fillId="7" borderId="1" xfId="0" applyNumberFormat="1" applyFill="1" applyBorder="1"/>
    <xf numFmtId="2" fontId="0" fillId="8" borderId="1" xfId="0" applyNumberFormat="1" applyFill="1" applyBorder="1"/>
    <xf numFmtId="2" fontId="4" fillId="11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11" borderId="0" xfId="0" applyFill="1"/>
    <xf numFmtId="2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9" fontId="4" fillId="11" borderId="1" xfId="0" applyNumberFormat="1" applyFont="1" applyFill="1" applyBorder="1" applyAlignment="1">
      <alignment horizontal="center" vertical="center" wrapText="1"/>
    </xf>
    <xf numFmtId="2" fontId="0" fillId="3" borderId="0" xfId="0" applyNumberFormat="1" applyFill="1"/>
    <xf numFmtId="10" fontId="0" fillId="3" borderId="0" xfId="0" applyNumberFormat="1" applyFill="1"/>
    <xf numFmtId="0" fontId="0" fillId="3" borderId="0" xfId="0" applyFill="1"/>
    <xf numFmtId="9" fontId="4" fillId="4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4" borderId="0" xfId="0" applyNumberFormat="1" applyFill="1"/>
    <xf numFmtId="2" fontId="0" fillId="5" borderId="0" xfId="0" applyNumberFormat="1" applyFill="1"/>
    <xf numFmtId="2" fontId="0" fillId="6" borderId="0" xfId="0" applyNumberFormat="1" applyFill="1"/>
    <xf numFmtId="2" fontId="0" fillId="7" borderId="0" xfId="0" applyNumberFormat="1" applyFill="1"/>
    <xf numFmtId="2" fontId="0" fillId="8" borderId="0" xfId="0" applyNumberFormat="1" applyFill="1"/>
    <xf numFmtId="0" fontId="5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32" customWidth="1"/>
    <col min="2" max="17" width="13" customWidth="1"/>
  </cols>
  <sheetData>
    <row r="1" ht="36" spans="1:4">
      <c r="A1" s="64" t="s">
        <v>0</v>
      </c>
      <c r="B1" s="65"/>
      <c r="C1" s="65"/>
      <c r="D1" s="65"/>
    </row>
    <row r="2" ht="34" spans="1:4">
      <c r="A2" s="66" t="s">
        <v>1</v>
      </c>
      <c r="B2" s="66" t="s">
        <v>2</v>
      </c>
      <c r="C2" s="66" t="s">
        <v>3</v>
      </c>
      <c r="D2" s="66" t="s">
        <v>4</v>
      </c>
    </row>
    <row r="3" spans="1:4">
      <c r="A3" s="67" t="s">
        <v>5</v>
      </c>
      <c r="B3" s="52">
        <v>0.05</v>
      </c>
      <c r="C3" s="68" t="s">
        <v>6</v>
      </c>
      <c r="D3" s="69" t="s">
        <v>5</v>
      </c>
    </row>
    <row r="4" spans="1:4">
      <c r="A4" s="67" t="s">
        <v>7</v>
      </c>
      <c r="B4" s="52">
        <v>0.15</v>
      </c>
      <c r="C4" s="68" t="s">
        <v>8</v>
      </c>
      <c r="D4" s="69" t="s">
        <v>7</v>
      </c>
    </row>
    <row r="5" spans="1:4">
      <c r="A5" s="67" t="s">
        <v>9</v>
      </c>
      <c r="B5" s="52">
        <v>1.96</v>
      </c>
      <c r="C5" s="68" t="s">
        <v>10</v>
      </c>
      <c r="D5" s="69" t="s">
        <v>11</v>
      </c>
    </row>
    <row r="6" spans="1:4">
      <c r="A6" s="67" t="s">
        <v>12</v>
      </c>
      <c r="B6" s="52">
        <v>1.92</v>
      </c>
      <c r="C6" s="68" t="s">
        <v>13</v>
      </c>
      <c r="D6" s="69" t="s">
        <v>14</v>
      </c>
    </row>
    <row r="7" spans="1:4">
      <c r="A7" s="67" t="s">
        <v>15</v>
      </c>
      <c r="B7" s="52">
        <v>0</v>
      </c>
      <c r="C7" s="68" t="s">
        <v>16</v>
      </c>
      <c r="D7" s="69" t="s">
        <v>17</v>
      </c>
    </row>
    <row r="8" spans="1:4">
      <c r="A8" s="67" t="s">
        <v>18</v>
      </c>
      <c r="B8" s="52">
        <v>0</v>
      </c>
      <c r="C8" s="68" t="s">
        <v>16</v>
      </c>
      <c r="D8" s="69" t="s">
        <v>19</v>
      </c>
    </row>
    <row r="9" ht="31" spans="1:4">
      <c r="A9" s="67" t="s">
        <v>20</v>
      </c>
      <c r="B9" s="52" t="s">
        <v>21</v>
      </c>
      <c r="C9" s="68" t="s">
        <v>22</v>
      </c>
      <c r="D9" s="69" t="s">
        <v>20</v>
      </c>
    </row>
    <row r="10" ht="28" spans="1:4">
      <c r="A10" s="67" t="s">
        <v>23</v>
      </c>
      <c r="B10" s="52">
        <v>1.5</v>
      </c>
      <c r="C10" s="68" t="s">
        <v>24</v>
      </c>
      <c r="D10" s="69" t="s">
        <v>23</v>
      </c>
    </row>
    <row r="11" ht="28" spans="1:4">
      <c r="A11" s="67" t="s">
        <v>25</v>
      </c>
      <c r="B11" s="52">
        <v>2.5</v>
      </c>
      <c r="C11" s="68" t="s">
        <v>26</v>
      </c>
      <c r="D11" s="69" t="s">
        <v>25</v>
      </c>
    </row>
    <row r="12" ht="31" spans="1:4">
      <c r="A12" s="67" t="s">
        <v>27</v>
      </c>
      <c r="B12" s="52">
        <v>3.67</v>
      </c>
      <c r="C12" s="68" t="s">
        <v>28</v>
      </c>
      <c r="D12" s="69" t="s">
        <v>27</v>
      </c>
    </row>
    <row r="13" ht="31" spans="1:4">
      <c r="A13" s="67" t="s">
        <v>29</v>
      </c>
      <c r="B13" s="52">
        <v>3.75</v>
      </c>
      <c r="C13" s="68" t="s">
        <v>30</v>
      </c>
      <c r="D13" s="69" t="s">
        <v>29</v>
      </c>
    </row>
    <row r="14" spans="1:4">
      <c r="A14" s="67" t="s">
        <v>31</v>
      </c>
      <c r="B14" s="52">
        <v>28317</v>
      </c>
      <c r="C14" s="68" t="s">
        <v>32</v>
      </c>
      <c r="D14" s="69" t="s">
        <v>31</v>
      </c>
    </row>
    <row r="15" ht="31" spans="1:4">
      <c r="A15" s="67" t="s">
        <v>33</v>
      </c>
      <c r="B15" s="52">
        <v>0.05</v>
      </c>
      <c r="C15" s="68" t="s">
        <v>34</v>
      </c>
      <c r="D15" s="69" t="s">
        <v>33</v>
      </c>
    </row>
    <row r="16" ht="31" spans="1:4">
      <c r="A16" s="67" t="s">
        <v>35</v>
      </c>
      <c r="B16" s="52">
        <v>0.0015</v>
      </c>
      <c r="C16" s="68" t="s">
        <v>36</v>
      </c>
      <c r="D16" s="69" t="s">
        <v>35</v>
      </c>
    </row>
    <row r="17" ht="31" spans="1:17">
      <c r="A17" s="67" t="s">
        <v>37</v>
      </c>
      <c r="B17" s="52">
        <v>15</v>
      </c>
      <c r="C17" s="68" t="s">
        <v>38</v>
      </c>
      <c r="D17" s="69" t="s">
        <v>37</v>
      </c>
    </row>
    <row r="18" ht="31" spans="1:17">
      <c r="A18" s="67" t="s">
        <v>39</v>
      </c>
      <c r="B18" s="52">
        <v>500</v>
      </c>
      <c r="C18" s="68" t="s">
        <v>40</v>
      </c>
      <c r="D18" s="69" t="s">
        <v>39</v>
      </c>
    </row>
    <row r="19" ht="28" spans="1:17">
      <c r="A19" s="67" t="s">
        <v>41</v>
      </c>
      <c r="B19" s="52">
        <v>0.05</v>
      </c>
      <c r="C19" s="68" t="s">
        <v>42</v>
      </c>
      <c r="D19" s="69" t="s">
        <v>41</v>
      </c>
    </row>
    <row r="22" ht="36" spans="1:17">
      <c r="A22" s="64" t="s">
        <v>43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</row>
    <row r="23" ht="34" spans="1:17">
      <c r="A23" s="66" t="s">
        <v>44</v>
      </c>
      <c r="B23" s="66" t="s">
        <v>45</v>
      </c>
      <c r="C23" s="66" t="s">
        <v>46</v>
      </c>
      <c r="D23" s="66" t="s">
        <v>47</v>
      </c>
      <c r="E23" s="66" t="s">
        <v>48</v>
      </c>
      <c r="F23" s="66" t="s">
        <v>49</v>
      </c>
      <c r="G23" s="66" t="s">
        <v>50</v>
      </c>
      <c r="H23" s="66" t="s">
        <v>51</v>
      </c>
      <c r="I23" s="66" t="s">
        <v>52</v>
      </c>
      <c r="J23" s="66" t="s">
        <v>53</v>
      </c>
      <c r="K23" s="66" t="s">
        <v>54</v>
      </c>
      <c r="L23" s="66" t="s">
        <v>55</v>
      </c>
      <c r="M23" s="66" t="s">
        <v>56</v>
      </c>
      <c r="N23" s="66" t="s">
        <v>57</v>
      </c>
      <c r="O23" s="66" t="s">
        <v>58</v>
      </c>
      <c r="P23" s="66" t="s">
        <v>59</v>
      </c>
      <c r="Q23" s="66" t="s">
        <v>60</v>
      </c>
    </row>
    <row r="24" spans="1:17">
      <c r="A24" s="68" t="s">
        <v>61</v>
      </c>
      <c r="B24" s="70" t="s">
        <v>62</v>
      </c>
      <c r="C24" s="71">
        <v>0.27</v>
      </c>
      <c r="D24" s="70">
        <v>0</v>
      </c>
      <c r="E24" s="70">
        <v>0</v>
      </c>
      <c r="F24" s="70" t="s">
        <v>62</v>
      </c>
      <c r="G24" s="71">
        <v>0.27</v>
      </c>
      <c r="H24" s="70">
        <v>0</v>
      </c>
      <c r="I24" s="70">
        <v>0</v>
      </c>
      <c r="J24" s="70" t="s">
        <v>62</v>
      </c>
      <c r="K24" s="71">
        <v>0.27</v>
      </c>
      <c r="L24" s="70">
        <v>0</v>
      </c>
      <c r="M24" s="70">
        <v>0</v>
      </c>
      <c r="N24" s="70" t="s">
        <v>62</v>
      </c>
      <c r="O24" s="71">
        <v>0.27</v>
      </c>
      <c r="P24" s="70">
        <v>0</v>
      </c>
      <c r="Q24" s="70">
        <v>0</v>
      </c>
    </row>
    <row r="25" spans="1:17">
      <c r="A25" s="68" t="s">
        <v>63</v>
      </c>
      <c r="B25" s="70" t="s">
        <v>62</v>
      </c>
      <c r="C25" s="71">
        <v>0.2</v>
      </c>
      <c r="D25" s="70">
        <v>0</v>
      </c>
      <c r="E25" s="70">
        <v>0</v>
      </c>
      <c r="F25" s="70" t="s">
        <v>62</v>
      </c>
      <c r="G25" s="71">
        <v>0.2</v>
      </c>
      <c r="H25" s="70">
        <v>0</v>
      </c>
      <c r="I25" s="70">
        <v>0</v>
      </c>
      <c r="J25" s="70" t="s">
        <v>62</v>
      </c>
      <c r="K25" s="71">
        <v>0.2</v>
      </c>
      <c r="L25" s="70">
        <v>0</v>
      </c>
      <c r="M25" s="70">
        <v>0</v>
      </c>
      <c r="N25" s="70" t="s">
        <v>62</v>
      </c>
      <c r="O25" s="71">
        <v>0.2</v>
      </c>
      <c r="P25" s="70">
        <v>0</v>
      </c>
      <c r="Q25" s="70">
        <v>0</v>
      </c>
    </row>
    <row r="26" spans="1:17">
      <c r="A26" s="68" t="s">
        <v>64</v>
      </c>
      <c r="B26" s="70" t="s">
        <v>62</v>
      </c>
      <c r="C26" s="71">
        <v>0.25</v>
      </c>
      <c r="D26" s="70">
        <v>0</v>
      </c>
      <c r="E26" s="70">
        <v>0</v>
      </c>
      <c r="F26" s="70" t="s">
        <v>62</v>
      </c>
      <c r="G26" s="71">
        <v>0.25</v>
      </c>
      <c r="H26" s="70">
        <v>0</v>
      </c>
      <c r="I26" s="70">
        <v>0</v>
      </c>
      <c r="J26" s="70" t="s">
        <v>62</v>
      </c>
      <c r="K26" s="71">
        <v>0.25</v>
      </c>
      <c r="L26" s="70">
        <v>0</v>
      </c>
      <c r="M26" s="70">
        <v>0</v>
      </c>
      <c r="N26" s="70" t="s">
        <v>62</v>
      </c>
      <c r="O26" s="71">
        <v>0.25</v>
      </c>
      <c r="P26" s="70">
        <v>0</v>
      </c>
      <c r="Q26" s="70">
        <v>0</v>
      </c>
    </row>
    <row r="27" spans="1:17">
      <c r="A27" s="68" t="s">
        <v>65</v>
      </c>
      <c r="B27" s="70" t="s">
        <v>66</v>
      </c>
      <c r="C27" s="71">
        <v>0.15</v>
      </c>
      <c r="D27" s="70">
        <v>5000</v>
      </c>
      <c r="E27" s="71">
        <v>0.05</v>
      </c>
      <c r="F27" s="70" t="s">
        <v>66</v>
      </c>
      <c r="G27" s="71">
        <v>0.15</v>
      </c>
      <c r="H27" s="70">
        <v>5000</v>
      </c>
      <c r="I27" s="71">
        <v>0.05</v>
      </c>
      <c r="J27" s="70" t="s">
        <v>66</v>
      </c>
      <c r="K27" s="71">
        <v>0.15</v>
      </c>
      <c r="L27" s="70">
        <v>5000</v>
      </c>
      <c r="M27" s="71">
        <v>0.05</v>
      </c>
      <c r="N27" s="70" t="s">
        <v>66</v>
      </c>
      <c r="O27" s="71">
        <v>0.15</v>
      </c>
      <c r="P27" s="70">
        <v>5000</v>
      </c>
      <c r="Q27" s="71">
        <v>0.05</v>
      </c>
    </row>
    <row r="28" spans="1:17">
      <c r="A28" s="68" t="s">
        <v>67</v>
      </c>
      <c r="B28" s="70" t="s">
        <v>62</v>
      </c>
      <c r="C28" s="71">
        <v>0.15</v>
      </c>
      <c r="D28" s="70">
        <v>0</v>
      </c>
      <c r="E28" s="70">
        <v>0</v>
      </c>
      <c r="F28" s="70" t="s">
        <v>62</v>
      </c>
      <c r="G28" s="71">
        <v>0.15</v>
      </c>
      <c r="H28" s="70">
        <v>0</v>
      </c>
      <c r="I28" s="70">
        <v>0</v>
      </c>
      <c r="J28" s="70" t="s">
        <v>62</v>
      </c>
      <c r="K28" s="71">
        <v>0.15</v>
      </c>
      <c r="L28" s="70">
        <v>0</v>
      </c>
      <c r="M28" s="70">
        <v>0</v>
      </c>
      <c r="N28" s="70" t="s">
        <v>62</v>
      </c>
      <c r="O28" s="71">
        <v>0.15</v>
      </c>
      <c r="P28" s="70">
        <v>0</v>
      </c>
      <c r="Q28" s="70">
        <v>0</v>
      </c>
    </row>
    <row r="29" spans="1:17">
      <c r="A29" s="68" t="s">
        <v>68</v>
      </c>
      <c r="B29" s="70" t="s">
        <v>66</v>
      </c>
      <c r="C29" s="71">
        <v>0.16</v>
      </c>
      <c r="D29" s="70">
        <v>1000</v>
      </c>
      <c r="E29" s="71">
        <v>0.05</v>
      </c>
      <c r="F29" s="70" t="s">
        <v>66</v>
      </c>
      <c r="G29" s="71">
        <v>0.16</v>
      </c>
      <c r="H29" s="70">
        <v>1000</v>
      </c>
      <c r="I29" s="71">
        <v>0.05</v>
      </c>
      <c r="J29" s="70" t="s">
        <v>66</v>
      </c>
      <c r="K29" s="71">
        <v>0.15</v>
      </c>
      <c r="L29" s="70">
        <v>1000</v>
      </c>
      <c r="M29" s="71">
        <v>0.05</v>
      </c>
      <c r="N29" s="70" t="s">
        <v>66</v>
      </c>
      <c r="O29" s="71">
        <v>0.15</v>
      </c>
      <c r="P29" s="70">
        <v>1000</v>
      </c>
      <c r="Q29" s="71">
        <v>0.05</v>
      </c>
    </row>
    <row r="30" spans="1:17">
      <c r="A30" s="68" t="s">
        <v>69</v>
      </c>
      <c r="B30" s="70" t="s">
        <v>62</v>
      </c>
      <c r="C30" s="71">
        <v>0.25</v>
      </c>
      <c r="D30" s="70">
        <v>0</v>
      </c>
      <c r="E30" s="70">
        <v>0</v>
      </c>
      <c r="F30" s="70" t="s">
        <v>62</v>
      </c>
      <c r="G30" s="71">
        <v>0.25</v>
      </c>
      <c r="H30" s="70">
        <v>0</v>
      </c>
      <c r="I30" s="70">
        <v>0</v>
      </c>
      <c r="J30" s="70" t="s">
        <v>62</v>
      </c>
      <c r="K30" s="71">
        <v>0.25</v>
      </c>
      <c r="L30" s="70">
        <v>0</v>
      </c>
      <c r="M30" s="70">
        <v>0</v>
      </c>
      <c r="N30" s="70" t="s">
        <v>62</v>
      </c>
      <c r="O30" s="71">
        <v>0.25</v>
      </c>
      <c r="P30" s="70">
        <v>0</v>
      </c>
      <c r="Q30" s="70">
        <v>0</v>
      </c>
    </row>
    <row r="31" spans="1:17">
      <c r="A31" s="68" t="s">
        <v>70</v>
      </c>
      <c r="B31" s="70" t="s">
        <v>62</v>
      </c>
      <c r="C31" s="71">
        <v>0.05</v>
      </c>
      <c r="D31" s="70">
        <v>0</v>
      </c>
      <c r="E31" s="70">
        <v>0</v>
      </c>
      <c r="F31" s="70" t="s">
        <v>62</v>
      </c>
      <c r="G31" s="71">
        <v>0.05</v>
      </c>
      <c r="H31" s="70">
        <v>0</v>
      </c>
      <c r="I31" s="70">
        <v>0</v>
      </c>
      <c r="J31" s="70" t="s">
        <v>62</v>
      </c>
      <c r="K31" s="71">
        <v>0.05</v>
      </c>
      <c r="L31" s="70">
        <v>0</v>
      </c>
      <c r="M31" s="70">
        <v>0</v>
      </c>
      <c r="N31" s="70" t="s">
        <v>62</v>
      </c>
      <c r="O31" s="71">
        <v>0.05</v>
      </c>
      <c r="P31" s="70">
        <v>0</v>
      </c>
      <c r="Q31" s="70">
        <v>0</v>
      </c>
    </row>
    <row r="32" spans="1:17">
      <c r="A32" s="68" t="s">
        <v>71</v>
      </c>
      <c r="B32" s="70" t="s">
        <v>62</v>
      </c>
      <c r="C32" s="71">
        <v>0.1</v>
      </c>
      <c r="D32" s="70">
        <v>0</v>
      </c>
      <c r="E32" s="70">
        <v>0</v>
      </c>
      <c r="F32" s="70" t="s">
        <v>62</v>
      </c>
      <c r="G32" s="71">
        <v>0.1</v>
      </c>
      <c r="H32" s="70">
        <v>0</v>
      </c>
      <c r="I32" s="70">
        <v>0</v>
      </c>
      <c r="J32" s="70" t="s">
        <v>62</v>
      </c>
      <c r="K32" s="71">
        <v>0.1</v>
      </c>
      <c r="L32" s="70">
        <v>0</v>
      </c>
      <c r="M32" s="70">
        <v>0</v>
      </c>
      <c r="N32" s="70" t="s">
        <v>62</v>
      </c>
      <c r="O32" s="71">
        <v>0.1</v>
      </c>
      <c r="P32" s="70">
        <v>0</v>
      </c>
      <c r="Q32" s="70">
        <v>0</v>
      </c>
    </row>
    <row r="33" spans="1:17">
      <c r="A33" s="68" t="s">
        <v>72</v>
      </c>
      <c r="B33" s="70" t="s">
        <v>73</v>
      </c>
      <c r="C33" s="71">
        <v>0.06</v>
      </c>
      <c r="D33" s="70">
        <v>500</v>
      </c>
      <c r="E33" s="71">
        <v>0.05</v>
      </c>
      <c r="F33" s="70" t="s">
        <v>73</v>
      </c>
      <c r="G33" s="71">
        <v>0.06</v>
      </c>
      <c r="H33" s="70">
        <v>500</v>
      </c>
      <c r="I33" s="71">
        <v>0.05</v>
      </c>
      <c r="J33" s="70" t="s">
        <v>73</v>
      </c>
      <c r="K33" s="71">
        <v>0.05</v>
      </c>
      <c r="L33" s="70">
        <v>750</v>
      </c>
      <c r="M33" s="71">
        <v>0.045</v>
      </c>
      <c r="N33" s="70" t="s">
        <v>73</v>
      </c>
      <c r="O33" s="71">
        <v>0.06</v>
      </c>
      <c r="P33" s="70">
        <v>750</v>
      </c>
      <c r="Q33" s="71">
        <v>0.055</v>
      </c>
    </row>
    <row r="34" spans="1:17">
      <c r="A34" s="68" t="s">
        <v>74</v>
      </c>
      <c r="B34" s="70" t="s">
        <v>62</v>
      </c>
      <c r="C34" s="71">
        <v>0.06</v>
      </c>
      <c r="D34" s="70">
        <v>0</v>
      </c>
      <c r="E34" s="70">
        <v>0</v>
      </c>
      <c r="F34" s="70" t="s">
        <v>62</v>
      </c>
      <c r="G34" s="71">
        <v>0.06</v>
      </c>
      <c r="H34" s="70">
        <v>0</v>
      </c>
      <c r="I34" s="70">
        <v>0</v>
      </c>
      <c r="J34" s="70" t="s">
        <v>62</v>
      </c>
      <c r="K34" s="71">
        <v>0.06</v>
      </c>
      <c r="L34" s="70">
        <v>0</v>
      </c>
      <c r="M34" s="70">
        <v>0</v>
      </c>
      <c r="N34" s="70" t="s">
        <v>62</v>
      </c>
      <c r="O34" s="71">
        <v>0.06</v>
      </c>
      <c r="P34" s="70">
        <v>0</v>
      </c>
      <c r="Q34" s="70">
        <v>0</v>
      </c>
    </row>
    <row r="35" spans="1:17">
      <c r="A35" s="68" t="s">
        <v>75</v>
      </c>
      <c r="B35" s="70" t="s">
        <v>62</v>
      </c>
      <c r="C35" s="71">
        <v>0.04</v>
      </c>
      <c r="D35" s="70">
        <v>0</v>
      </c>
      <c r="E35" s="70">
        <v>0</v>
      </c>
      <c r="F35" s="70" t="s">
        <v>62</v>
      </c>
      <c r="G35" s="71">
        <v>0.04</v>
      </c>
      <c r="H35" s="70">
        <v>0</v>
      </c>
      <c r="I35" s="70">
        <v>0</v>
      </c>
      <c r="J35" s="70" t="s">
        <v>62</v>
      </c>
      <c r="K35" s="71">
        <v>0.04</v>
      </c>
      <c r="L35" s="70">
        <v>0</v>
      </c>
      <c r="M35" s="70">
        <v>0</v>
      </c>
      <c r="N35" s="70" t="s">
        <v>62</v>
      </c>
      <c r="O35" s="71">
        <v>0.04</v>
      </c>
      <c r="P35" s="70">
        <v>0</v>
      </c>
      <c r="Q35" s="70">
        <v>0</v>
      </c>
    </row>
    <row r="36" spans="1:17">
      <c r="A36" s="68" t="s">
        <v>76</v>
      </c>
      <c r="B36" s="70" t="s">
        <v>62</v>
      </c>
      <c r="C36" s="71">
        <v>0.1</v>
      </c>
      <c r="D36" s="70">
        <v>0</v>
      </c>
      <c r="E36" s="70">
        <v>0</v>
      </c>
      <c r="F36" s="70" t="s">
        <v>62</v>
      </c>
      <c r="G36" s="71">
        <v>0.1</v>
      </c>
      <c r="H36" s="70">
        <v>0</v>
      </c>
      <c r="I36" s="70">
        <v>0</v>
      </c>
      <c r="J36" s="70" t="s">
        <v>62</v>
      </c>
      <c r="K36" s="71">
        <v>0.1</v>
      </c>
      <c r="L36" s="70">
        <v>0</v>
      </c>
      <c r="M36" s="70">
        <v>0</v>
      </c>
      <c r="N36" s="70" t="s">
        <v>62</v>
      </c>
      <c r="O36" s="71">
        <v>0.1</v>
      </c>
      <c r="P36" s="70">
        <v>0</v>
      </c>
      <c r="Q36" s="70">
        <v>0</v>
      </c>
    </row>
    <row r="37" spans="1:17">
      <c r="A37" s="68" t="s">
        <v>77</v>
      </c>
      <c r="B37" s="70" t="s">
        <v>62</v>
      </c>
      <c r="C37" s="71">
        <v>0.06</v>
      </c>
      <c r="D37" s="70">
        <v>0</v>
      </c>
      <c r="E37" s="70">
        <v>0</v>
      </c>
      <c r="F37" s="70" t="s">
        <v>62</v>
      </c>
      <c r="G37" s="71">
        <v>0.065</v>
      </c>
      <c r="H37" s="70">
        <v>0</v>
      </c>
      <c r="I37" s="70">
        <v>0</v>
      </c>
      <c r="J37" s="70" t="s">
        <v>62</v>
      </c>
      <c r="K37" s="71">
        <v>0.06</v>
      </c>
      <c r="L37" s="70">
        <v>0</v>
      </c>
      <c r="M37" s="70">
        <v>0</v>
      </c>
      <c r="N37" s="70" t="s">
        <v>62</v>
      </c>
      <c r="O37" s="71">
        <v>0.065</v>
      </c>
      <c r="P37" s="70">
        <v>0</v>
      </c>
      <c r="Q37" s="70">
        <v>0</v>
      </c>
    </row>
    <row r="38" spans="1:17">
      <c r="A38" s="68" t="s">
        <v>78</v>
      </c>
      <c r="B38" s="70" t="s">
        <v>62</v>
      </c>
      <c r="C38" s="71">
        <v>0.07</v>
      </c>
      <c r="D38" s="70">
        <v>0</v>
      </c>
      <c r="E38" s="70">
        <v>0</v>
      </c>
      <c r="F38" s="70" t="s">
        <v>62</v>
      </c>
      <c r="G38" s="71">
        <v>0.075</v>
      </c>
      <c r="H38" s="70">
        <v>0</v>
      </c>
      <c r="I38" s="70">
        <v>0</v>
      </c>
      <c r="J38" s="70" t="s">
        <v>62</v>
      </c>
      <c r="K38" s="71">
        <v>0.07</v>
      </c>
      <c r="L38" s="70">
        <v>0</v>
      </c>
      <c r="M38" s="70">
        <v>0</v>
      </c>
      <c r="N38" s="70" t="s">
        <v>62</v>
      </c>
      <c r="O38" s="71">
        <v>0.075</v>
      </c>
      <c r="P38" s="70">
        <v>0</v>
      </c>
      <c r="Q38" s="70">
        <v>0</v>
      </c>
    </row>
    <row r="39" spans="1:17">
      <c r="A39" s="68" t="s">
        <v>79</v>
      </c>
      <c r="B39" s="70" t="s">
        <v>73</v>
      </c>
      <c r="C39" s="71">
        <v>0.15</v>
      </c>
      <c r="D39" s="70">
        <v>250</v>
      </c>
      <c r="E39" s="71">
        <v>0.08</v>
      </c>
      <c r="F39" s="70" t="s">
        <v>73</v>
      </c>
      <c r="G39" s="71">
        <v>0.155</v>
      </c>
      <c r="H39" s="70">
        <v>250</v>
      </c>
      <c r="I39" s="71">
        <v>0.085</v>
      </c>
      <c r="J39" s="70" t="s">
        <v>73</v>
      </c>
      <c r="K39" s="71">
        <v>0.15</v>
      </c>
      <c r="L39" s="70">
        <v>250</v>
      </c>
      <c r="M39" s="71">
        <v>0.08</v>
      </c>
      <c r="N39" s="70" t="s">
        <v>73</v>
      </c>
      <c r="O39" s="71">
        <v>0.155</v>
      </c>
      <c r="P39" s="70">
        <v>250</v>
      </c>
      <c r="Q39" s="71">
        <v>0.085</v>
      </c>
    </row>
    <row r="40" spans="1:17">
      <c r="A40" s="68" t="s">
        <v>80</v>
      </c>
      <c r="B40" s="70" t="s">
        <v>62</v>
      </c>
      <c r="C40" s="71">
        <v>0.06</v>
      </c>
      <c r="D40" s="70">
        <v>0</v>
      </c>
      <c r="E40" s="70">
        <v>0</v>
      </c>
      <c r="F40" s="70" t="s">
        <v>62</v>
      </c>
      <c r="G40" s="71">
        <v>0.065</v>
      </c>
      <c r="H40" s="70">
        <v>0</v>
      </c>
      <c r="I40" s="70">
        <v>0</v>
      </c>
      <c r="J40" s="70" t="s">
        <v>62</v>
      </c>
      <c r="K40" s="71">
        <v>0.06</v>
      </c>
      <c r="L40" s="70">
        <v>0</v>
      </c>
      <c r="M40" s="70">
        <v>0</v>
      </c>
      <c r="N40" s="70" t="s">
        <v>62</v>
      </c>
      <c r="O40" s="71">
        <v>0.065</v>
      </c>
      <c r="P40" s="70">
        <v>0</v>
      </c>
      <c r="Q40" s="70">
        <v>0</v>
      </c>
    </row>
    <row r="41" spans="1:17">
      <c r="A41" s="68" t="s">
        <v>81</v>
      </c>
      <c r="B41" s="70" t="s">
        <v>62</v>
      </c>
      <c r="C41" s="71">
        <v>0.06</v>
      </c>
      <c r="D41" s="70">
        <v>0</v>
      </c>
      <c r="E41" s="70">
        <v>0</v>
      </c>
      <c r="F41" s="70" t="s">
        <v>62</v>
      </c>
      <c r="G41" s="71">
        <v>0.065</v>
      </c>
      <c r="H41" s="70">
        <v>0</v>
      </c>
      <c r="I41" s="70">
        <v>0</v>
      </c>
      <c r="J41" s="70" t="s">
        <v>62</v>
      </c>
      <c r="K41" s="71">
        <v>0.06</v>
      </c>
      <c r="L41" s="70">
        <v>0</v>
      </c>
      <c r="M41" s="70">
        <v>0</v>
      </c>
      <c r="N41" s="70" t="s">
        <v>62</v>
      </c>
      <c r="O41" s="71">
        <v>0.065</v>
      </c>
      <c r="P41" s="70">
        <v>0</v>
      </c>
      <c r="Q41" s="70">
        <v>0</v>
      </c>
    </row>
    <row r="42" spans="1:17">
      <c r="A42" s="68" t="s">
        <v>82</v>
      </c>
      <c r="B42" s="70" t="s">
        <v>62</v>
      </c>
      <c r="C42" s="71">
        <v>0.06</v>
      </c>
      <c r="D42" s="70">
        <v>0</v>
      </c>
      <c r="E42" s="70">
        <v>0</v>
      </c>
      <c r="F42" s="70" t="s">
        <v>62</v>
      </c>
      <c r="G42" s="71">
        <v>0.065</v>
      </c>
      <c r="H42" s="70">
        <v>0</v>
      </c>
      <c r="I42" s="70">
        <v>0</v>
      </c>
      <c r="J42" s="70" t="s">
        <v>62</v>
      </c>
      <c r="K42" s="71">
        <v>0.06</v>
      </c>
      <c r="L42" s="70">
        <v>0</v>
      </c>
      <c r="M42" s="70">
        <v>0</v>
      </c>
      <c r="N42" s="70" t="s">
        <v>62</v>
      </c>
      <c r="O42" s="71">
        <v>0.065</v>
      </c>
      <c r="P42" s="70">
        <v>0</v>
      </c>
      <c r="Q42" s="70">
        <v>0</v>
      </c>
    </row>
    <row r="43" spans="1:17">
      <c r="A43" s="68" t="s">
        <v>83</v>
      </c>
      <c r="B43" s="70" t="s">
        <v>62</v>
      </c>
      <c r="C43" s="71">
        <v>0.13</v>
      </c>
      <c r="D43" s="70">
        <v>0</v>
      </c>
      <c r="E43" s="70">
        <v>0</v>
      </c>
      <c r="F43" s="70" t="s">
        <v>62</v>
      </c>
      <c r="G43" s="71">
        <v>0.135</v>
      </c>
      <c r="H43" s="70">
        <v>0</v>
      </c>
      <c r="I43" s="70">
        <v>0</v>
      </c>
      <c r="J43" s="70" t="s">
        <v>62</v>
      </c>
      <c r="K43" s="71">
        <v>0.13</v>
      </c>
      <c r="L43" s="70">
        <v>0</v>
      </c>
      <c r="M43" s="70">
        <v>0</v>
      </c>
      <c r="N43" s="70" t="s">
        <v>62</v>
      </c>
      <c r="O43" s="71">
        <v>0.135</v>
      </c>
      <c r="P43" s="70">
        <v>0</v>
      </c>
      <c r="Q43" s="70">
        <v>0</v>
      </c>
    </row>
    <row r="44" spans="1:17">
      <c r="A44" s="68" t="s">
        <v>84</v>
      </c>
      <c r="B44" s="70" t="s">
        <v>62</v>
      </c>
      <c r="C44" s="71">
        <v>0.15</v>
      </c>
      <c r="D44" s="70">
        <v>0</v>
      </c>
      <c r="E44" s="70">
        <v>0</v>
      </c>
      <c r="F44" s="70" t="s">
        <v>62</v>
      </c>
      <c r="G44" s="71">
        <v>0.155</v>
      </c>
      <c r="H44" s="70">
        <v>0</v>
      </c>
      <c r="I44" s="70">
        <v>0</v>
      </c>
      <c r="J44" s="70" t="s">
        <v>62</v>
      </c>
      <c r="K44" s="71">
        <v>0.15</v>
      </c>
      <c r="L44" s="70">
        <v>0</v>
      </c>
      <c r="M44" s="70">
        <v>0</v>
      </c>
      <c r="N44" s="70" t="s">
        <v>62</v>
      </c>
      <c r="O44" s="71">
        <v>0.155</v>
      </c>
      <c r="P44" s="70">
        <v>0</v>
      </c>
      <c r="Q44" s="70">
        <v>0</v>
      </c>
    </row>
    <row r="45" spans="1:17">
      <c r="A45" s="68" t="s">
        <v>85</v>
      </c>
      <c r="B45" s="70" t="s">
        <v>62</v>
      </c>
      <c r="C45" s="71">
        <v>0.15</v>
      </c>
      <c r="D45" s="70">
        <v>0</v>
      </c>
      <c r="E45" s="70">
        <v>0</v>
      </c>
      <c r="F45" s="70" t="s">
        <v>62</v>
      </c>
      <c r="G45" s="71">
        <v>0.155</v>
      </c>
      <c r="H45" s="70">
        <v>0</v>
      </c>
      <c r="I45" s="70">
        <v>0</v>
      </c>
      <c r="J45" s="70" t="s">
        <v>62</v>
      </c>
      <c r="K45" s="71">
        <v>0.15</v>
      </c>
      <c r="L45" s="70">
        <v>0</v>
      </c>
      <c r="M45" s="70">
        <v>0</v>
      </c>
      <c r="N45" s="70" t="s">
        <v>62</v>
      </c>
      <c r="O45" s="71">
        <v>0.155</v>
      </c>
      <c r="P45" s="70">
        <v>0</v>
      </c>
      <c r="Q45" s="70">
        <v>0</v>
      </c>
    </row>
    <row r="46" spans="1:17">
      <c r="A46" s="68" t="s">
        <v>86</v>
      </c>
      <c r="B46" s="70" t="s">
        <v>62</v>
      </c>
      <c r="C46" s="71">
        <v>0.06</v>
      </c>
      <c r="D46" s="70">
        <v>0</v>
      </c>
      <c r="E46" s="70">
        <v>0</v>
      </c>
      <c r="F46" s="70" t="s">
        <v>62</v>
      </c>
      <c r="G46" s="71">
        <v>0.065</v>
      </c>
      <c r="H46" s="70">
        <v>0</v>
      </c>
      <c r="I46" s="70">
        <v>0</v>
      </c>
      <c r="J46" s="70" t="s">
        <v>62</v>
      </c>
      <c r="K46" s="71">
        <v>0.06</v>
      </c>
      <c r="L46" s="70">
        <v>0</v>
      </c>
      <c r="M46" s="70">
        <v>0</v>
      </c>
      <c r="N46" s="70" t="s">
        <v>62</v>
      </c>
      <c r="O46" s="71">
        <v>0.065</v>
      </c>
      <c r="P46" s="70">
        <v>0</v>
      </c>
      <c r="Q46" s="70">
        <v>0</v>
      </c>
    </row>
    <row r="47" spans="1:17">
      <c r="A47" s="68" t="s">
        <v>87</v>
      </c>
      <c r="B47" s="70" t="s">
        <v>62</v>
      </c>
      <c r="C47" s="71">
        <v>0.13</v>
      </c>
      <c r="D47" s="70">
        <v>0</v>
      </c>
      <c r="E47" s="70">
        <v>0</v>
      </c>
      <c r="F47" s="70" t="s">
        <v>62</v>
      </c>
      <c r="G47" s="71">
        <v>0.135</v>
      </c>
      <c r="H47" s="70">
        <v>0</v>
      </c>
      <c r="I47" s="70">
        <v>0</v>
      </c>
      <c r="J47" s="70" t="s">
        <v>62</v>
      </c>
      <c r="K47" s="71">
        <v>0.13</v>
      </c>
      <c r="L47" s="70">
        <v>0</v>
      </c>
      <c r="M47" s="70">
        <v>0</v>
      </c>
      <c r="N47" s="70" t="s">
        <v>62</v>
      </c>
      <c r="O47" s="71">
        <v>0.135</v>
      </c>
      <c r="P47" s="70">
        <v>0</v>
      </c>
      <c r="Q47" s="70">
        <v>0</v>
      </c>
    </row>
    <row r="48" spans="1:17">
      <c r="A48" s="68" t="s">
        <v>88</v>
      </c>
      <c r="B48" s="70" t="s">
        <v>62</v>
      </c>
      <c r="C48" s="71">
        <v>0.2</v>
      </c>
      <c r="D48" s="70">
        <v>0</v>
      </c>
      <c r="E48" s="70">
        <v>0</v>
      </c>
      <c r="F48" s="70" t="s">
        <v>62</v>
      </c>
      <c r="G48" s="71">
        <v>0.2</v>
      </c>
      <c r="H48" s="70">
        <v>0</v>
      </c>
      <c r="I48" s="70">
        <v>0</v>
      </c>
      <c r="J48" s="70" t="s">
        <v>62</v>
      </c>
      <c r="K48" s="71">
        <v>0.2</v>
      </c>
      <c r="L48" s="70">
        <v>0</v>
      </c>
      <c r="M48" s="70">
        <v>0</v>
      </c>
      <c r="N48" s="70" t="s">
        <v>62</v>
      </c>
      <c r="O48" s="71">
        <v>0.2</v>
      </c>
      <c r="P48" s="70">
        <v>0</v>
      </c>
      <c r="Q48" s="70">
        <v>0</v>
      </c>
    </row>
    <row r="49" spans="1:17">
      <c r="A49" s="68" t="s">
        <v>89</v>
      </c>
      <c r="B49" s="70" t="s">
        <v>62</v>
      </c>
      <c r="C49" s="71">
        <v>0.15</v>
      </c>
      <c r="D49" s="70">
        <v>0</v>
      </c>
      <c r="E49" s="70">
        <v>0</v>
      </c>
      <c r="F49" s="70" t="s">
        <v>62</v>
      </c>
      <c r="G49" s="71">
        <v>0.15</v>
      </c>
      <c r="H49" s="70">
        <v>0</v>
      </c>
      <c r="I49" s="70">
        <v>0</v>
      </c>
      <c r="J49" s="70" t="s">
        <v>62</v>
      </c>
      <c r="K49" s="71">
        <v>0.15</v>
      </c>
      <c r="L49" s="70">
        <v>0</v>
      </c>
      <c r="M49" s="70">
        <v>0</v>
      </c>
      <c r="N49" s="70" t="s">
        <v>62</v>
      </c>
      <c r="O49" s="71">
        <v>0.15</v>
      </c>
      <c r="P49" s="70">
        <v>0</v>
      </c>
      <c r="Q49" s="70">
        <v>0</v>
      </c>
    </row>
    <row r="50" spans="1:17">
      <c r="A50" s="68" t="s">
        <v>90</v>
      </c>
      <c r="B50" s="70" t="s">
        <v>62</v>
      </c>
      <c r="C50" s="71">
        <v>0.15</v>
      </c>
      <c r="D50" s="70">
        <v>0</v>
      </c>
      <c r="E50" s="70">
        <v>0</v>
      </c>
      <c r="F50" s="70" t="s">
        <v>62</v>
      </c>
      <c r="G50" s="71">
        <v>0.15</v>
      </c>
      <c r="H50" s="70">
        <v>0</v>
      </c>
      <c r="I50" s="70">
        <v>0</v>
      </c>
      <c r="J50" s="70" t="s">
        <v>62</v>
      </c>
      <c r="K50" s="71">
        <v>0.2</v>
      </c>
      <c r="L50" s="70">
        <v>0</v>
      </c>
      <c r="M50" s="70">
        <v>0</v>
      </c>
      <c r="N50" s="70" t="s">
        <v>62</v>
      </c>
      <c r="O50" s="71">
        <v>0.2</v>
      </c>
      <c r="P50" s="70">
        <v>0</v>
      </c>
      <c r="Q50" s="70">
        <v>0</v>
      </c>
    </row>
    <row r="51" spans="1:17">
      <c r="A51" s="68" t="s">
        <v>91</v>
      </c>
      <c r="B51" s="70" t="s">
        <v>62</v>
      </c>
      <c r="C51" s="71">
        <v>0.12</v>
      </c>
      <c r="D51" s="70">
        <v>0</v>
      </c>
      <c r="E51" s="70">
        <v>0</v>
      </c>
      <c r="F51" s="70" t="s">
        <v>62</v>
      </c>
      <c r="G51" s="71">
        <v>0.12</v>
      </c>
      <c r="H51" s="70">
        <v>0</v>
      </c>
      <c r="I51" s="70">
        <v>0</v>
      </c>
      <c r="J51" s="70" t="s">
        <v>62</v>
      </c>
      <c r="K51" s="71">
        <v>0.12</v>
      </c>
      <c r="L51" s="70">
        <v>0</v>
      </c>
      <c r="M51" s="70">
        <v>0</v>
      </c>
      <c r="N51" s="70" t="s">
        <v>62</v>
      </c>
      <c r="O51" s="71">
        <v>0.12</v>
      </c>
      <c r="P51" s="70">
        <v>0</v>
      </c>
      <c r="Q51" s="70">
        <v>0</v>
      </c>
    </row>
    <row r="52" spans="1:17">
      <c r="A52" s="68" t="s">
        <v>92</v>
      </c>
      <c r="B52" s="70" t="s">
        <v>62</v>
      </c>
      <c r="C52" s="71">
        <v>0.15</v>
      </c>
      <c r="D52" s="70">
        <v>0</v>
      </c>
      <c r="E52" s="70">
        <v>0</v>
      </c>
      <c r="F52" s="70" t="s">
        <v>62</v>
      </c>
      <c r="G52" s="71">
        <v>0.15</v>
      </c>
      <c r="H52" s="70">
        <v>0</v>
      </c>
      <c r="I52" s="70">
        <v>0</v>
      </c>
      <c r="J52" s="70" t="s">
        <v>62</v>
      </c>
      <c r="K52" s="71">
        <v>0.15</v>
      </c>
      <c r="L52" s="70">
        <v>0</v>
      </c>
      <c r="M52" s="70">
        <v>0</v>
      </c>
      <c r="N52" s="70" t="s">
        <v>62</v>
      </c>
      <c r="O52" s="71">
        <v>0.15</v>
      </c>
      <c r="P52" s="70">
        <v>0</v>
      </c>
      <c r="Q52" s="70">
        <v>0</v>
      </c>
    </row>
    <row r="53" spans="1:17">
      <c r="A53" s="68" t="s">
        <v>93</v>
      </c>
      <c r="B53" s="70" t="s">
        <v>62</v>
      </c>
      <c r="C53" s="71">
        <v>0.06</v>
      </c>
      <c r="D53" s="70">
        <v>0</v>
      </c>
      <c r="E53" s="70">
        <v>0</v>
      </c>
      <c r="F53" s="70" t="s">
        <v>62</v>
      </c>
      <c r="G53" s="71">
        <v>0.06</v>
      </c>
      <c r="H53" s="70">
        <v>0</v>
      </c>
      <c r="I53" s="70">
        <v>0</v>
      </c>
      <c r="J53" s="70" t="s">
        <v>73</v>
      </c>
      <c r="K53" s="71">
        <v>0.1</v>
      </c>
      <c r="L53" s="70">
        <v>250</v>
      </c>
      <c r="M53" s="71">
        <v>0.08</v>
      </c>
      <c r="N53" s="70" t="s">
        <v>73</v>
      </c>
      <c r="O53" s="71">
        <v>0.1</v>
      </c>
      <c r="P53" s="70">
        <v>250</v>
      </c>
      <c r="Q53" s="71">
        <v>0.08</v>
      </c>
    </row>
    <row r="54" spans="1:17">
      <c r="A54" s="68" t="s">
        <v>94</v>
      </c>
      <c r="B54" s="70" t="s">
        <v>62</v>
      </c>
      <c r="C54" s="71">
        <v>0.05</v>
      </c>
      <c r="D54" s="70">
        <v>0</v>
      </c>
      <c r="E54" s="70">
        <v>0</v>
      </c>
      <c r="F54" s="70" t="s">
        <v>62</v>
      </c>
      <c r="G54" s="71">
        <v>0.05</v>
      </c>
      <c r="H54" s="70">
        <v>0</v>
      </c>
      <c r="I54" s="70">
        <v>0</v>
      </c>
      <c r="J54" s="70" t="s">
        <v>62</v>
      </c>
      <c r="K54" s="71">
        <v>0.08</v>
      </c>
      <c r="L54" s="70">
        <v>0</v>
      </c>
      <c r="M54" s="70">
        <v>0</v>
      </c>
      <c r="N54" s="70" t="s">
        <v>62</v>
      </c>
      <c r="O54" s="71">
        <v>0.08</v>
      </c>
      <c r="P54" s="70">
        <v>0</v>
      </c>
      <c r="Q54" s="70">
        <v>0</v>
      </c>
    </row>
    <row r="55" spans="1:17">
      <c r="A55" s="68" t="s">
        <v>95</v>
      </c>
      <c r="B55" s="70" t="s">
        <v>62</v>
      </c>
      <c r="C55" s="71">
        <v>0.05</v>
      </c>
      <c r="D55" s="70">
        <v>0</v>
      </c>
      <c r="E55" s="70">
        <v>0</v>
      </c>
      <c r="F55" s="70" t="s">
        <v>62</v>
      </c>
      <c r="G55" s="71">
        <v>0.05</v>
      </c>
      <c r="H55" s="70">
        <v>0</v>
      </c>
      <c r="I55" s="70">
        <v>0</v>
      </c>
      <c r="J55" s="70" t="s">
        <v>62</v>
      </c>
      <c r="K55" s="71">
        <v>0.1</v>
      </c>
      <c r="L55" s="70">
        <v>0</v>
      </c>
      <c r="M55" s="70">
        <v>0</v>
      </c>
      <c r="N55" s="70" t="s">
        <v>62</v>
      </c>
      <c r="O55" s="71">
        <v>0.1</v>
      </c>
      <c r="P55" s="70">
        <v>0</v>
      </c>
      <c r="Q55" s="70">
        <v>0</v>
      </c>
    </row>
    <row r="56" spans="1:17">
      <c r="A56" s="68" t="s">
        <v>96</v>
      </c>
      <c r="B56" s="70" t="s">
        <v>62</v>
      </c>
      <c r="C56" s="71">
        <v>0.06</v>
      </c>
      <c r="D56" s="70">
        <v>0</v>
      </c>
      <c r="E56" s="70">
        <v>0</v>
      </c>
      <c r="F56" s="70" t="s">
        <v>62</v>
      </c>
      <c r="G56" s="71">
        <v>0.06</v>
      </c>
      <c r="H56" s="70">
        <v>0</v>
      </c>
      <c r="I56" s="70">
        <v>0</v>
      </c>
      <c r="J56" s="70" t="s">
        <v>62</v>
      </c>
      <c r="K56" s="71">
        <v>0.05</v>
      </c>
      <c r="L56" s="70">
        <v>0</v>
      </c>
      <c r="M56" s="70">
        <v>0</v>
      </c>
      <c r="N56" s="70" t="s">
        <v>62</v>
      </c>
      <c r="O56" s="71">
        <v>0.05</v>
      </c>
      <c r="P56" s="70">
        <v>0</v>
      </c>
      <c r="Q56" s="70">
        <v>0</v>
      </c>
    </row>
    <row r="57" spans="1:17">
      <c r="A57" s="68" t="s">
        <v>97</v>
      </c>
      <c r="B57" s="70" t="s">
        <v>62</v>
      </c>
      <c r="C57" s="71">
        <v>0.1</v>
      </c>
      <c r="D57" s="70">
        <v>0</v>
      </c>
      <c r="E57" s="70">
        <v>0</v>
      </c>
      <c r="F57" s="70" t="s">
        <v>62</v>
      </c>
      <c r="G57" s="71">
        <v>0.1</v>
      </c>
      <c r="H57" s="70">
        <v>0</v>
      </c>
      <c r="I57" s="70">
        <v>0</v>
      </c>
      <c r="J57" s="70" t="s">
        <v>62</v>
      </c>
      <c r="K57" s="71">
        <v>0.14</v>
      </c>
      <c r="L57" s="70">
        <v>0</v>
      </c>
      <c r="M57" s="70">
        <v>0</v>
      </c>
      <c r="N57" s="70" t="s">
        <v>62</v>
      </c>
      <c r="O57" s="71">
        <v>0.14</v>
      </c>
      <c r="P57" s="70">
        <v>0</v>
      </c>
      <c r="Q57" s="70">
        <v>0</v>
      </c>
    </row>
    <row r="58" spans="1:17">
      <c r="A58" s="68" t="s">
        <v>98</v>
      </c>
      <c r="B58" s="70" t="s">
        <v>62</v>
      </c>
      <c r="C58" s="71">
        <v>0.15</v>
      </c>
      <c r="D58" s="70">
        <v>0</v>
      </c>
      <c r="E58" s="70">
        <v>0</v>
      </c>
      <c r="F58" s="70" t="s">
        <v>62</v>
      </c>
      <c r="G58" s="71">
        <v>0.15</v>
      </c>
      <c r="H58" s="70">
        <v>0</v>
      </c>
      <c r="I58" s="70">
        <v>0</v>
      </c>
      <c r="J58" s="70" t="s">
        <v>62</v>
      </c>
      <c r="K58" s="71">
        <v>0.15</v>
      </c>
      <c r="L58" s="70">
        <v>0</v>
      </c>
      <c r="M58" s="70">
        <v>0</v>
      </c>
      <c r="N58" s="70" t="s">
        <v>62</v>
      </c>
      <c r="O58" s="71">
        <v>0.15</v>
      </c>
      <c r="P58" s="70">
        <v>0</v>
      </c>
      <c r="Q58" s="70">
        <v>0</v>
      </c>
    </row>
    <row r="59" spans="1:17">
      <c r="A59" s="68" t="s">
        <v>99</v>
      </c>
      <c r="B59" s="70" t="s">
        <v>73</v>
      </c>
      <c r="C59" s="71">
        <v>0.15</v>
      </c>
      <c r="D59" s="70">
        <v>50</v>
      </c>
      <c r="E59" s="71">
        <v>0.05</v>
      </c>
      <c r="F59" s="70" t="s">
        <v>73</v>
      </c>
      <c r="G59" s="71">
        <v>0.15</v>
      </c>
      <c r="H59" s="70">
        <v>50</v>
      </c>
      <c r="I59" s="71">
        <v>0.05</v>
      </c>
      <c r="J59" s="70" t="s">
        <v>73</v>
      </c>
      <c r="K59" s="71">
        <v>0.12</v>
      </c>
      <c r="L59" s="70">
        <v>250</v>
      </c>
      <c r="M59" s="71">
        <v>0.06</v>
      </c>
      <c r="N59" s="70" t="s">
        <v>73</v>
      </c>
      <c r="O59" s="71">
        <v>0.12</v>
      </c>
      <c r="P59" s="70">
        <v>250</v>
      </c>
      <c r="Q59" s="71">
        <v>0.06</v>
      </c>
    </row>
    <row r="60" spans="1:17">
      <c r="A60" s="68" t="s">
        <v>100</v>
      </c>
      <c r="B60" s="70" t="s">
        <v>62</v>
      </c>
      <c r="C60" s="71">
        <v>0.13</v>
      </c>
      <c r="D60" s="70">
        <v>0</v>
      </c>
      <c r="E60" s="70">
        <v>0</v>
      </c>
      <c r="F60" s="70" t="s">
        <v>62</v>
      </c>
      <c r="G60" s="71">
        <v>0.13</v>
      </c>
      <c r="H60" s="70">
        <v>0</v>
      </c>
      <c r="I60" s="70">
        <v>0</v>
      </c>
      <c r="J60" s="70" t="s">
        <v>62</v>
      </c>
      <c r="K60" s="71">
        <v>0.15</v>
      </c>
      <c r="L60" s="70">
        <v>0</v>
      </c>
      <c r="M60" s="70">
        <v>0</v>
      </c>
      <c r="N60" s="70" t="s">
        <v>62</v>
      </c>
      <c r="O60" s="71">
        <v>0.15</v>
      </c>
      <c r="P60" s="70">
        <v>0</v>
      </c>
      <c r="Q60" s="70">
        <v>0</v>
      </c>
    </row>
    <row r="61" spans="1:17">
      <c r="A61" s="68" t="s">
        <v>101</v>
      </c>
      <c r="B61" s="70" t="s">
        <v>62</v>
      </c>
      <c r="C61" s="71">
        <v>0.14</v>
      </c>
      <c r="D61" s="70">
        <v>0</v>
      </c>
      <c r="E61" s="70">
        <v>0</v>
      </c>
      <c r="F61" s="70" t="s">
        <v>62</v>
      </c>
      <c r="G61" s="71">
        <v>0.14</v>
      </c>
      <c r="H61" s="70">
        <v>0</v>
      </c>
      <c r="I61" s="70">
        <v>0</v>
      </c>
      <c r="J61" s="70" t="s">
        <v>62</v>
      </c>
      <c r="K61" s="71">
        <v>0.15</v>
      </c>
      <c r="L61" s="70">
        <v>0</v>
      </c>
      <c r="M61" s="70">
        <v>0</v>
      </c>
      <c r="N61" s="70" t="s">
        <v>62</v>
      </c>
      <c r="O61" s="71">
        <v>0.15</v>
      </c>
      <c r="P61" s="70">
        <v>0</v>
      </c>
      <c r="Q61" s="70">
        <v>0</v>
      </c>
    </row>
    <row r="62" spans="1:17">
      <c r="A62" s="68" t="s">
        <v>102</v>
      </c>
      <c r="B62" s="70" t="s">
        <v>73</v>
      </c>
      <c r="C62" s="71">
        <v>0.08</v>
      </c>
      <c r="D62" s="70">
        <v>50</v>
      </c>
      <c r="E62" s="71">
        <v>0.15</v>
      </c>
      <c r="F62" s="70" t="s">
        <v>73</v>
      </c>
      <c r="G62" s="71">
        <v>0.08</v>
      </c>
      <c r="H62" s="70">
        <v>50</v>
      </c>
      <c r="I62" s="71">
        <v>0.15</v>
      </c>
      <c r="J62" s="70" t="s">
        <v>62</v>
      </c>
      <c r="K62" s="71">
        <v>0.15</v>
      </c>
      <c r="L62" s="70">
        <v>0</v>
      </c>
      <c r="M62" s="70">
        <v>0</v>
      </c>
      <c r="N62" s="70" t="s">
        <v>62</v>
      </c>
      <c r="O62" s="71">
        <v>0.15</v>
      </c>
      <c r="P62" s="70">
        <v>0</v>
      </c>
      <c r="Q62" s="70">
        <v>0</v>
      </c>
    </row>
    <row r="63" spans="1:17">
      <c r="A63" s="68" t="s">
        <v>103</v>
      </c>
      <c r="B63" s="70" t="s">
        <v>73</v>
      </c>
      <c r="C63" s="71">
        <v>0.08</v>
      </c>
      <c r="D63" s="70">
        <v>50</v>
      </c>
      <c r="E63" s="71">
        <v>0.15</v>
      </c>
      <c r="F63" s="70" t="s">
        <v>73</v>
      </c>
      <c r="G63" s="71">
        <v>0.08</v>
      </c>
      <c r="H63" s="70">
        <v>50</v>
      </c>
      <c r="I63" s="71">
        <v>0.15</v>
      </c>
      <c r="J63" s="70" t="s">
        <v>62</v>
      </c>
      <c r="K63" s="71">
        <v>0.1</v>
      </c>
      <c r="L63" s="70">
        <v>0</v>
      </c>
      <c r="M63" s="70">
        <v>0</v>
      </c>
      <c r="N63" s="70" t="s">
        <v>62</v>
      </c>
      <c r="O63" s="71">
        <v>0.1</v>
      </c>
      <c r="P63" s="70">
        <v>0</v>
      </c>
      <c r="Q63" s="70">
        <v>0</v>
      </c>
    </row>
    <row r="64" spans="1:17">
      <c r="A64" s="68" t="s">
        <v>104</v>
      </c>
      <c r="B64" s="70" t="s">
        <v>73</v>
      </c>
      <c r="C64" s="71">
        <v>0.08</v>
      </c>
      <c r="D64" s="70">
        <v>50</v>
      </c>
      <c r="E64" s="71">
        <v>0.15</v>
      </c>
      <c r="F64" s="70" t="s">
        <v>73</v>
      </c>
      <c r="G64" s="71">
        <v>0.08</v>
      </c>
      <c r="H64" s="70">
        <v>50</v>
      </c>
      <c r="I64" s="71">
        <v>0.15</v>
      </c>
      <c r="J64" s="70" t="s">
        <v>62</v>
      </c>
      <c r="K64" s="71">
        <v>0.15</v>
      </c>
      <c r="L64" s="70">
        <v>0</v>
      </c>
      <c r="M64" s="70">
        <v>0</v>
      </c>
      <c r="N64" s="70" t="s">
        <v>62</v>
      </c>
      <c r="O64" s="71">
        <v>0.15</v>
      </c>
      <c r="P64" s="70">
        <v>0</v>
      </c>
      <c r="Q64" s="70">
        <v>0</v>
      </c>
    </row>
    <row r="65" spans="1:17">
      <c r="A65" s="68" t="s">
        <v>105</v>
      </c>
      <c r="B65" s="70" t="s">
        <v>73</v>
      </c>
      <c r="C65" s="71">
        <v>0.08</v>
      </c>
      <c r="D65" s="70">
        <v>50</v>
      </c>
      <c r="E65" s="71">
        <v>0.15</v>
      </c>
      <c r="F65" s="70" t="s">
        <v>73</v>
      </c>
      <c r="G65" s="71">
        <v>0.08</v>
      </c>
      <c r="H65" s="70">
        <v>50</v>
      </c>
      <c r="I65" s="71">
        <v>0.15</v>
      </c>
      <c r="J65" s="70" t="s">
        <v>73</v>
      </c>
      <c r="K65" s="71">
        <v>0.09</v>
      </c>
      <c r="L65" s="70">
        <v>50</v>
      </c>
      <c r="M65" s="71">
        <v>0.125</v>
      </c>
      <c r="N65" s="70" t="s">
        <v>73</v>
      </c>
      <c r="O65" s="71">
        <v>0.09</v>
      </c>
      <c r="P65" s="70">
        <v>50</v>
      </c>
      <c r="Q65" s="71">
        <v>0.125</v>
      </c>
    </row>
    <row r="66" spans="1:17">
      <c r="A66" s="68" t="s">
        <v>106</v>
      </c>
      <c r="B66" s="70" t="s">
        <v>62</v>
      </c>
      <c r="C66" s="71">
        <v>0.08</v>
      </c>
      <c r="D66" s="70">
        <v>0</v>
      </c>
      <c r="E66" s="70">
        <v>0</v>
      </c>
      <c r="F66" s="70" t="s">
        <v>62</v>
      </c>
      <c r="G66" s="71">
        <v>0.08</v>
      </c>
      <c r="H66" s="70">
        <v>0</v>
      </c>
      <c r="I66" s="70">
        <v>0</v>
      </c>
      <c r="J66" s="70" t="s">
        <v>62</v>
      </c>
      <c r="K66" s="71">
        <v>0.085</v>
      </c>
      <c r="L66" s="70">
        <v>0</v>
      </c>
      <c r="M66" s="70">
        <v>0</v>
      </c>
      <c r="N66" s="70" t="s">
        <v>62</v>
      </c>
      <c r="O66" s="71">
        <v>0.085</v>
      </c>
      <c r="P66" s="70">
        <v>0</v>
      </c>
      <c r="Q66" s="70">
        <v>0</v>
      </c>
    </row>
    <row r="67" spans="1:17">
      <c r="A67" s="68" t="s">
        <v>107</v>
      </c>
      <c r="B67" s="70" t="s">
        <v>62</v>
      </c>
      <c r="C67" s="71">
        <v>0.14</v>
      </c>
      <c r="D67" s="70">
        <v>0</v>
      </c>
      <c r="E67" s="70">
        <v>0</v>
      </c>
      <c r="F67" s="70" t="s">
        <v>62</v>
      </c>
      <c r="G67" s="71">
        <v>0.14</v>
      </c>
      <c r="H67" s="70">
        <v>0</v>
      </c>
      <c r="I67" s="70">
        <v>0</v>
      </c>
      <c r="J67" s="70" t="s">
        <v>62</v>
      </c>
      <c r="K67" s="71">
        <v>0.11</v>
      </c>
      <c r="L67" s="70">
        <v>0</v>
      </c>
      <c r="M67" s="70">
        <v>0</v>
      </c>
      <c r="N67" s="70" t="s">
        <v>62</v>
      </c>
      <c r="O67" s="71">
        <v>0.11</v>
      </c>
      <c r="P67" s="70">
        <v>0</v>
      </c>
      <c r="Q67" s="70">
        <v>0</v>
      </c>
    </row>
    <row r="68" spans="1:17">
      <c r="A68" s="68" t="s">
        <v>108</v>
      </c>
      <c r="B68" s="70" t="s">
        <v>62</v>
      </c>
      <c r="C68" s="71">
        <v>0.09</v>
      </c>
      <c r="D68" s="70">
        <v>0</v>
      </c>
      <c r="E68" s="70">
        <v>0</v>
      </c>
      <c r="F68" s="70" t="s">
        <v>62</v>
      </c>
      <c r="G68" s="71">
        <v>0.09</v>
      </c>
      <c r="H68" s="70">
        <v>0</v>
      </c>
      <c r="I68" s="70">
        <v>0</v>
      </c>
      <c r="J68" s="70" t="s">
        <v>62</v>
      </c>
      <c r="K68" s="71">
        <v>0.09</v>
      </c>
      <c r="L68" s="70">
        <v>0</v>
      </c>
      <c r="M68" s="70">
        <v>0</v>
      </c>
      <c r="N68" s="70" t="s">
        <v>62</v>
      </c>
      <c r="O68" s="71">
        <v>0.09</v>
      </c>
      <c r="P68" s="70">
        <v>0</v>
      </c>
      <c r="Q68" s="70">
        <v>0</v>
      </c>
    </row>
    <row r="69" spans="1:17">
      <c r="A69" s="68" t="s">
        <v>109</v>
      </c>
      <c r="B69" s="70" t="s">
        <v>62</v>
      </c>
      <c r="C69" s="71">
        <v>0.15</v>
      </c>
      <c r="D69" s="70">
        <v>0</v>
      </c>
      <c r="E69" s="70">
        <v>0</v>
      </c>
      <c r="F69" s="70" t="s">
        <v>62</v>
      </c>
      <c r="G69" s="71">
        <v>0.15</v>
      </c>
      <c r="H69" s="70">
        <v>0</v>
      </c>
      <c r="I69" s="70">
        <v>0</v>
      </c>
      <c r="J69" s="70" t="s">
        <v>62</v>
      </c>
      <c r="K69" s="71">
        <v>0.14</v>
      </c>
      <c r="L69" s="70">
        <v>0</v>
      </c>
      <c r="M69" s="70">
        <v>0</v>
      </c>
      <c r="N69" s="70" t="s">
        <v>62</v>
      </c>
      <c r="O69" s="71">
        <v>0.14</v>
      </c>
      <c r="P69" s="70">
        <v>0</v>
      </c>
      <c r="Q69" s="70">
        <v>0</v>
      </c>
    </row>
    <row r="70" spans="1:17">
      <c r="A70" s="68" t="s">
        <v>110</v>
      </c>
      <c r="B70" s="70" t="s">
        <v>66</v>
      </c>
      <c r="C70" s="71">
        <v>0.15</v>
      </c>
      <c r="D70" s="70">
        <v>750</v>
      </c>
      <c r="E70" s="71">
        <v>0.1</v>
      </c>
      <c r="F70" s="70" t="s">
        <v>66</v>
      </c>
      <c r="G70" s="71">
        <v>0.15</v>
      </c>
      <c r="H70" s="70">
        <v>750</v>
      </c>
      <c r="I70" s="71">
        <v>0.1</v>
      </c>
      <c r="J70" s="70" t="s">
        <v>66</v>
      </c>
      <c r="K70" s="71">
        <v>0.15</v>
      </c>
      <c r="L70" s="70">
        <v>750</v>
      </c>
      <c r="M70" s="71">
        <v>0.1</v>
      </c>
      <c r="N70" s="70" t="s">
        <v>66</v>
      </c>
      <c r="O70" s="71">
        <v>0.15</v>
      </c>
      <c r="P70" s="70">
        <v>750</v>
      </c>
      <c r="Q70" s="71">
        <v>0.1</v>
      </c>
    </row>
    <row r="71" spans="1:17">
      <c r="A71" s="68" t="s">
        <v>111</v>
      </c>
      <c r="B71" s="70" t="s">
        <v>73</v>
      </c>
      <c r="C71" s="71">
        <v>0.2</v>
      </c>
      <c r="D71" s="70">
        <v>30</v>
      </c>
      <c r="E71" s="71">
        <v>0.13</v>
      </c>
      <c r="F71" s="70" t="s">
        <v>73</v>
      </c>
      <c r="G71" s="71">
        <v>0.2</v>
      </c>
      <c r="H71" s="70">
        <v>30</v>
      </c>
      <c r="I71" s="71">
        <v>0.13</v>
      </c>
      <c r="J71" s="70" t="s">
        <v>73</v>
      </c>
      <c r="K71" s="71">
        <v>0.2</v>
      </c>
      <c r="L71" s="70">
        <v>30</v>
      </c>
      <c r="M71" s="71">
        <v>0.13</v>
      </c>
      <c r="N71" s="70" t="s">
        <v>73</v>
      </c>
      <c r="O71" s="71">
        <v>0.2</v>
      </c>
      <c r="P71" s="70">
        <v>30</v>
      </c>
      <c r="Q71" s="71">
        <v>0.13</v>
      </c>
    </row>
    <row r="72" spans="1:17">
      <c r="A72" s="68" t="s">
        <v>112</v>
      </c>
      <c r="B72" s="70" t="s">
        <v>62</v>
      </c>
      <c r="C72" s="71">
        <v>0.14</v>
      </c>
      <c r="D72" s="70">
        <v>0</v>
      </c>
      <c r="E72" s="70">
        <v>0</v>
      </c>
      <c r="F72" s="70" t="s">
        <v>62</v>
      </c>
      <c r="G72" s="71">
        <v>0.14</v>
      </c>
      <c r="H72" s="70">
        <v>0</v>
      </c>
      <c r="I72" s="70">
        <v>0</v>
      </c>
      <c r="J72" s="70" t="s">
        <v>62</v>
      </c>
      <c r="K72" s="71">
        <v>0.14</v>
      </c>
      <c r="L72" s="70">
        <v>0</v>
      </c>
      <c r="M72" s="70">
        <v>0</v>
      </c>
      <c r="N72" s="70" t="s">
        <v>62</v>
      </c>
      <c r="O72" s="71">
        <v>0.14</v>
      </c>
      <c r="P72" s="70">
        <v>0</v>
      </c>
      <c r="Q72" s="70">
        <v>0</v>
      </c>
    </row>
    <row r="73" spans="1:17">
      <c r="A73" s="68" t="s">
        <v>113</v>
      </c>
      <c r="B73" s="70" t="s">
        <v>73</v>
      </c>
      <c r="C73" s="71">
        <v>0.08</v>
      </c>
      <c r="D73" s="70">
        <v>50</v>
      </c>
      <c r="E73" s="71">
        <v>0.15</v>
      </c>
      <c r="F73" s="70" t="s">
        <v>73</v>
      </c>
      <c r="G73" s="71">
        <v>0.08</v>
      </c>
      <c r="H73" s="70">
        <v>50</v>
      </c>
      <c r="I73" s="71">
        <v>0.15</v>
      </c>
      <c r="J73" s="70" t="s">
        <v>73</v>
      </c>
      <c r="K73" s="71">
        <v>0.08</v>
      </c>
      <c r="L73" s="70">
        <v>50</v>
      </c>
      <c r="M73" s="71">
        <v>0.15</v>
      </c>
      <c r="N73" s="70" t="s">
        <v>73</v>
      </c>
      <c r="O73" s="71">
        <v>0.08</v>
      </c>
      <c r="P73" s="70">
        <v>50</v>
      </c>
      <c r="Q73" s="71">
        <v>0.15</v>
      </c>
    </row>
    <row r="74" spans="1:17">
      <c r="A74" s="68" t="s">
        <v>114</v>
      </c>
      <c r="B74" s="70" t="s">
        <v>62</v>
      </c>
      <c r="C74" s="71">
        <v>0.15</v>
      </c>
      <c r="D74" s="70">
        <v>0</v>
      </c>
      <c r="E74" s="70">
        <v>0</v>
      </c>
      <c r="F74" s="70" t="s">
        <v>62</v>
      </c>
      <c r="G74" s="71">
        <v>0.15</v>
      </c>
      <c r="H74" s="70">
        <v>0</v>
      </c>
      <c r="I74" s="70">
        <v>0</v>
      </c>
      <c r="J74" s="70" t="s">
        <v>62</v>
      </c>
      <c r="K74" s="71">
        <v>0.13</v>
      </c>
      <c r="L74" s="70">
        <v>0</v>
      </c>
      <c r="M74" s="70">
        <v>0</v>
      </c>
      <c r="N74" s="70" t="s">
        <v>62</v>
      </c>
      <c r="O74" s="71">
        <v>0.13</v>
      </c>
      <c r="P74" s="70">
        <v>0</v>
      </c>
      <c r="Q74" s="70">
        <v>0</v>
      </c>
    </row>
    <row r="75" spans="1:17">
      <c r="A75" s="68" t="s">
        <v>115</v>
      </c>
      <c r="B75" s="70" t="s">
        <v>62</v>
      </c>
      <c r="C75" s="71">
        <v>0.12</v>
      </c>
      <c r="D75" s="70">
        <v>0</v>
      </c>
      <c r="E75" s="70">
        <v>0</v>
      </c>
      <c r="F75" s="70" t="s">
        <v>62</v>
      </c>
      <c r="G75" s="71">
        <v>0.12</v>
      </c>
      <c r="H75" s="70">
        <v>0</v>
      </c>
      <c r="I75" s="70">
        <v>0</v>
      </c>
      <c r="J75" s="70" t="s">
        <v>62</v>
      </c>
      <c r="K75" s="71">
        <v>0.12</v>
      </c>
      <c r="L75" s="70">
        <v>0</v>
      </c>
      <c r="M75" s="70">
        <v>0</v>
      </c>
      <c r="N75" s="70" t="s">
        <v>62</v>
      </c>
      <c r="O75" s="71">
        <v>0.12</v>
      </c>
      <c r="P75" s="70">
        <v>0</v>
      </c>
      <c r="Q75" s="70">
        <v>0</v>
      </c>
    </row>
    <row r="76" spans="1:17">
      <c r="A76" s="68" t="s">
        <v>116</v>
      </c>
      <c r="B76" s="70" t="s">
        <v>62</v>
      </c>
      <c r="C76" s="71">
        <v>0.05</v>
      </c>
      <c r="D76" s="70">
        <v>0</v>
      </c>
      <c r="E76" s="70">
        <v>0</v>
      </c>
      <c r="F76" s="70" t="s">
        <v>62</v>
      </c>
      <c r="G76" s="71">
        <v>0.05</v>
      </c>
      <c r="H76" s="70">
        <v>0</v>
      </c>
      <c r="I76" s="70">
        <v>0</v>
      </c>
      <c r="J76" s="70" t="s">
        <v>62</v>
      </c>
      <c r="K76" s="71">
        <v>0.07</v>
      </c>
      <c r="L76" s="70">
        <v>0</v>
      </c>
      <c r="M76" s="70">
        <v>0</v>
      </c>
      <c r="N76" s="70" t="s">
        <v>62</v>
      </c>
      <c r="O76" s="71">
        <v>0.07</v>
      </c>
      <c r="P76" s="70">
        <v>0</v>
      </c>
      <c r="Q76" s="70">
        <v>0</v>
      </c>
    </row>
    <row r="77" spans="1:17">
      <c r="A77" s="68" t="s">
        <v>117</v>
      </c>
      <c r="B77" s="70" t="s">
        <v>62</v>
      </c>
      <c r="C77" s="71">
        <v>0.1</v>
      </c>
      <c r="D77" s="70">
        <v>0</v>
      </c>
      <c r="E77" s="70">
        <v>0</v>
      </c>
      <c r="F77" s="70" t="s">
        <v>62</v>
      </c>
      <c r="G77" s="71">
        <v>0.1</v>
      </c>
      <c r="H77" s="70">
        <v>0</v>
      </c>
      <c r="I77" s="70">
        <v>0</v>
      </c>
      <c r="J77" s="70" t="s">
        <v>62</v>
      </c>
      <c r="K77" s="71">
        <v>0.1</v>
      </c>
      <c r="L77" s="70">
        <v>0</v>
      </c>
      <c r="M77" s="70">
        <v>0</v>
      </c>
      <c r="N77" s="70" t="s">
        <v>62</v>
      </c>
      <c r="O77" s="71">
        <v>0.1</v>
      </c>
      <c r="P77" s="70">
        <v>0</v>
      </c>
      <c r="Q77" s="70">
        <v>0</v>
      </c>
    </row>
    <row r="78" spans="1:17">
      <c r="A78" s="68" t="s">
        <v>118</v>
      </c>
      <c r="B78" s="70" t="s">
        <v>62</v>
      </c>
      <c r="C78" s="71">
        <v>0.09</v>
      </c>
      <c r="D78" s="70">
        <v>0</v>
      </c>
      <c r="E78" s="70">
        <v>0</v>
      </c>
      <c r="F78" s="70" t="s">
        <v>62</v>
      </c>
      <c r="G78" s="71">
        <v>0.09</v>
      </c>
      <c r="H78" s="70">
        <v>0</v>
      </c>
      <c r="I78" s="70">
        <v>0</v>
      </c>
      <c r="J78" s="70" t="s">
        <v>62</v>
      </c>
      <c r="K78" s="71">
        <v>0.09</v>
      </c>
      <c r="L78" s="70">
        <v>0</v>
      </c>
      <c r="M78" s="70">
        <v>0</v>
      </c>
      <c r="N78" s="70" t="s">
        <v>62</v>
      </c>
      <c r="O78" s="71">
        <v>0.09</v>
      </c>
      <c r="P78" s="70">
        <v>0</v>
      </c>
      <c r="Q78" s="70">
        <v>0</v>
      </c>
    </row>
    <row r="79" spans="1:17">
      <c r="A79" s="68" t="s">
        <v>119</v>
      </c>
      <c r="B79" s="70" t="s">
        <v>62</v>
      </c>
      <c r="C79" s="71">
        <v>0.05</v>
      </c>
      <c r="D79" s="70">
        <v>0</v>
      </c>
      <c r="E79" s="70">
        <v>0</v>
      </c>
      <c r="F79" s="70" t="s">
        <v>62</v>
      </c>
      <c r="G79" s="71">
        <v>0.05</v>
      </c>
      <c r="H79" s="70">
        <v>0</v>
      </c>
      <c r="I79" s="70">
        <v>0</v>
      </c>
      <c r="J79" s="70" t="s">
        <v>62</v>
      </c>
      <c r="K79" s="71">
        <v>0.1</v>
      </c>
      <c r="L79" s="70">
        <v>0</v>
      </c>
      <c r="M79" s="70">
        <v>0</v>
      </c>
      <c r="N79" s="70" t="s">
        <v>62</v>
      </c>
      <c r="O79" s="71">
        <v>0.1</v>
      </c>
      <c r="P79" s="70">
        <v>0</v>
      </c>
      <c r="Q79" s="70">
        <v>0</v>
      </c>
    </row>
    <row r="80" spans="1:17">
      <c r="A80" s="68" t="s">
        <v>120</v>
      </c>
      <c r="B80" s="70" t="s">
        <v>62</v>
      </c>
      <c r="C80" s="71">
        <v>0.15</v>
      </c>
      <c r="D80" s="70">
        <v>0</v>
      </c>
      <c r="E80" s="70">
        <v>0</v>
      </c>
      <c r="F80" s="70" t="s">
        <v>62</v>
      </c>
      <c r="G80" s="71">
        <v>0.15</v>
      </c>
      <c r="H80" s="70">
        <v>0</v>
      </c>
      <c r="I80" s="70">
        <v>0</v>
      </c>
      <c r="J80" s="70" t="s">
        <v>62</v>
      </c>
      <c r="K80" s="71">
        <v>0.15</v>
      </c>
      <c r="L80" s="70">
        <v>0</v>
      </c>
      <c r="M80" s="70">
        <v>0</v>
      </c>
      <c r="N80" s="70" t="s">
        <v>62</v>
      </c>
      <c r="O80" s="71">
        <v>0.15</v>
      </c>
      <c r="P80" s="70">
        <v>0</v>
      </c>
      <c r="Q80" s="70">
        <v>0</v>
      </c>
    </row>
    <row r="81" spans="1:17">
      <c r="A81" s="68" t="s">
        <v>121</v>
      </c>
      <c r="B81" s="70" t="s">
        <v>62</v>
      </c>
      <c r="C81" s="71">
        <v>0.15</v>
      </c>
      <c r="D81" s="70">
        <v>0</v>
      </c>
      <c r="E81" s="70">
        <v>0</v>
      </c>
      <c r="F81" s="70" t="s">
        <v>62</v>
      </c>
      <c r="G81" s="71">
        <v>0.15</v>
      </c>
      <c r="H81" s="70">
        <v>0</v>
      </c>
      <c r="I81" s="70">
        <v>0</v>
      </c>
      <c r="J81" s="70" t="s">
        <v>62</v>
      </c>
      <c r="K81" s="71">
        <v>0.15</v>
      </c>
      <c r="L81" s="70">
        <v>0</v>
      </c>
      <c r="M81" s="70">
        <v>0</v>
      </c>
      <c r="N81" s="70" t="s">
        <v>62</v>
      </c>
      <c r="O81" s="71">
        <v>0.15</v>
      </c>
      <c r="P81" s="70">
        <v>0</v>
      </c>
      <c r="Q81" s="70">
        <v>0</v>
      </c>
    </row>
    <row r="84" ht="36" spans="1:17">
      <c r="A84" s="64" t="s">
        <v>122</v>
      </c>
      <c r="B84" s="65"/>
      <c r="C84" s="65"/>
      <c r="D84" s="65"/>
      <c r="E84" s="65"/>
      <c r="F84" s="65"/>
    </row>
    <row r="85" ht="34" spans="1:17">
      <c r="A85" s="66" t="s">
        <v>123</v>
      </c>
      <c r="B85" s="66" t="s">
        <v>124</v>
      </c>
      <c r="C85" s="66" t="s">
        <v>125</v>
      </c>
      <c r="D85" s="66" t="s">
        <v>126</v>
      </c>
      <c r="E85" s="66" t="s">
        <v>127</v>
      </c>
      <c r="F85" s="66" t="s">
        <v>128</v>
      </c>
    </row>
    <row r="86" spans="1:17">
      <c r="A86" s="68" t="s">
        <v>129</v>
      </c>
      <c r="B86" s="70">
        <v>20</v>
      </c>
      <c r="C86" s="70">
        <v>15</v>
      </c>
      <c r="D86" s="70">
        <v>1</v>
      </c>
      <c r="E86" s="70">
        <v>0.02</v>
      </c>
      <c r="F86" s="70">
        <v>0.1</v>
      </c>
    </row>
    <row r="87" spans="1:17">
      <c r="A87" s="68" t="s">
        <v>130</v>
      </c>
      <c r="B87" s="70">
        <v>33</v>
      </c>
      <c r="C87" s="70">
        <v>23</v>
      </c>
      <c r="D87" s="70">
        <v>2.5</v>
      </c>
      <c r="E87" s="70">
        <v>0.04</v>
      </c>
      <c r="F87" s="70">
        <v>0.5</v>
      </c>
    </row>
    <row r="88" spans="1:17">
      <c r="A88" s="68" t="s">
        <v>131</v>
      </c>
      <c r="B88" s="70">
        <v>33</v>
      </c>
      <c r="C88" s="70">
        <v>23</v>
      </c>
      <c r="D88" s="70">
        <v>5</v>
      </c>
      <c r="E88" s="70">
        <v>0.04</v>
      </c>
      <c r="F88" s="70">
        <v>1</v>
      </c>
    </row>
    <row r="89" spans="1:17">
      <c r="A89" s="68" t="s">
        <v>132</v>
      </c>
      <c r="B89" s="70">
        <v>45</v>
      </c>
      <c r="C89" s="70">
        <v>34</v>
      </c>
      <c r="D89" s="70">
        <v>26</v>
      </c>
      <c r="E89" s="70">
        <v>0.1</v>
      </c>
      <c r="F89" s="70">
        <v>12</v>
      </c>
    </row>
    <row r="90" spans="1:17">
      <c r="A90" s="68" t="s">
        <v>133</v>
      </c>
      <c r="B90" s="70">
        <v>130</v>
      </c>
      <c r="C90" s="70">
        <v>34</v>
      </c>
      <c r="D90" s="70">
        <v>26</v>
      </c>
      <c r="E90" s="70">
        <v>0.24</v>
      </c>
      <c r="F90" s="70">
        <v>30</v>
      </c>
    </row>
    <row r="91" spans="1:17">
      <c r="A91" s="68" t="s">
        <v>134</v>
      </c>
      <c r="B91" s="70">
        <v>130</v>
      </c>
      <c r="C91" s="70">
        <v>130</v>
      </c>
      <c r="D91" s="70">
        <v>130</v>
      </c>
      <c r="E91" s="70">
        <v>0.24</v>
      </c>
      <c r="F91" s="70">
        <v>30</v>
      </c>
    </row>
    <row r="92" spans="1:17">
      <c r="A92" s="68" t="s">
        <v>135</v>
      </c>
      <c r="B92" s="70">
        <v>999</v>
      </c>
      <c r="C92" s="70">
        <v>999</v>
      </c>
      <c r="D92" s="70">
        <v>999</v>
      </c>
      <c r="E92" s="70">
        <v>0.4</v>
      </c>
      <c r="F92" s="70">
        <v>999</v>
      </c>
    </row>
    <row r="95" ht="18" spans="1:17">
      <c r="A95" s="64" t="s">
        <v>136</v>
      </c>
      <c r="B95" s="65"/>
      <c r="C95" s="65"/>
      <c r="D95" s="65"/>
    </row>
    <row r="96" ht="34" spans="1:17">
      <c r="A96" s="66" t="s">
        <v>137</v>
      </c>
      <c r="B96" s="66" t="s">
        <v>138</v>
      </c>
      <c r="C96" s="66" t="s">
        <v>139</v>
      </c>
      <c r="D96" s="66" t="s">
        <v>140</v>
      </c>
    </row>
    <row r="97" spans="1:4">
      <c r="A97" s="68" t="s">
        <v>129</v>
      </c>
      <c r="B97" s="70">
        <v>0.1</v>
      </c>
      <c r="C97" s="70">
        <v>5</v>
      </c>
      <c r="D97" s="70">
        <v>7</v>
      </c>
    </row>
    <row r="98" spans="1:4">
      <c r="A98" s="68" t="s">
        <v>130</v>
      </c>
      <c r="B98" s="70">
        <v>0.1</v>
      </c>
      <c r="C98" s="70">
        <v>5.5</v>
      </c>
      <c r="D98" s="70">
        <v>7.5</v>
      </c>
    </row>
    <row r="99" spans="1:4">
      <c r="A99" s="68" t="s">
        <v>130</v>
      </c>
      <c r="B99" s="70">
        <v>0.25</v>
      </c>
      <c r="C99" s="70">
        <v>6</v>
      </c>
      <c r="D99" s="70">
        <v>8</v>
      </c>
    </row>
    <row r="100" spans="1:4">
      <c r="A100" s="68" t="s">
        <v>130</v>
      </c>
      <c r="B100" s="70">
        <v>0.5</v>
      </c>
      <c r="C100" s="70">
        <v>6</v>
      </c>
      <c r="D100" s="70">
        <v>8</v>
      </c>
    </row>
    <row r="101" spans="1:4">
      <c r="A101" s="68" t="s">
        <v>131</v>
      </c>
      <c r="B101" s="70">
        <v>1</v>
      </c>
      <c r="C101" s="70">
        <v>6.5</v>
      </c>
      <c r="D101" s="70">
        <v>8.5</v>
      </c>
    </row>
    <row r="102" spans="1:4">
      <c r="A102" s="68" t="s">
        <v>132</v>
      </c>
      <c r="B102" s="70">
        <v>0.25</v>
      </c>
      <c r="C102" s="70">
        <v>7</v>
      </c>
      <c r="D102" s="70">
        <v>8.5</v>
      </c>
    </row>
    <row r="103" spans="1:4">
      <c r="A103" s="68" t="s">
        <v>132</v>
      </c>
      <c r="B103" s="70">
        <v>0.5</v>
      </c>
      <c r="C103" s="70">
        <v>7</v>
      </c>
      <c r="D103" s="70">
        <v>9</v>
      </c>
    </row>
    <row r="104" spans="1:4">
      <c r="A104" s="68" t="s">
        <v>132</v>
      </c>
      <c r="B104" s="70">
        <v>1</v>
      </c>
      <c r="C104" s="70">
        <v>8</v>
      </c>
      <c r="D104" s="70">
        <v>10</v>
      </c>
    </row>
    <row r="105" spans="1:4">
      <c r="A105" s="68" t="s">
        <v>132</v>
      </c>
      <c r="B105" s="70">
        <v>1.5</v>
      </c>
      <c r="C105" s="70">
        <v>8.5</v>
      </c>
      <c r="D105" s="70">
        <v>10.5</v>
      </c>
    </row>
    <row r="106" spans="1:4">
      <c r="A106" s="68" t="s">
        <v>132</v>
      </c>
      <c r="B106" s="70">
        <v>2</v>
      </c>
      <c r="C106" s="70">
        <v>9</v>
      </c>
      <c r="D106" s="70">
        <v>11</v>
      </c>
    </row>
    <row r="107" spans="1:4">
      <c r="A107" s="68" t="s">
        <v>132</v>
      </c>
      <c r="B107" s="70">
        <v>3</v>
      </c>
      <c r="C107" s="70">
        <v>10</v>
      </c>
      <c r="D107" s="70">
        <v>12</v>
      </c>
    </row>
    <row r="108" spans="1:4">
      <c r="A108" s="68" t="s">
        <v>132</v>
      </c>
      <c r="B108" s="70">
        <v>4</v>
      </c>
      <c r="C108" s="70">
        <v>11</v>
      </c>
      <c r="D108" s="70">
        <v>13</v>
      </c>
    </row>
    <row r="109" spans="1:4">
      <c r="A109" s="68" t="s">
        <v>132</v>
      </c>
      <c r="B109" s="70">
        <v>5</v>
      </c>
      <c r="C109" s="70">
        <v>12</v>
      </c>
      <c r="D109" s="70">
        <v>14</v>
      </c>
    </row>
    <row r="110" spans="1:4">
      <c r="A110" s="68" t="s">
        <v>132</v>
      </c>
      <c r="B110" s="70">
        <v>6</v>
      </c>
      <c r="C110" s="70">
        <v>13</v>
      </c>
      <c r="D110" s="70">
        <v>15</v>
      </c>
    </row>
    <row r="111" spans="1:4">
      <c r="A111" s="68" t="s">
        <v>132</v>
      </c>
      <c r="B111" s="70">
        <v>7</v>
      </c>
      <c r="C111" s="70">
        <v>14</v>
      </c>
      <c r="D111" s="70">
        <v>16</v>
      </c>
    </row>
    <row r="112" spans="1:4">
      <c r="A112" s="68" t="s">
        <v>132</v>
      </c>
      <c r="B112" s="70">
        <v>8</v>
      </c>
      <c r="C112" s="70">
        <v>15</v>
      </c>
      <c r="D112" s="70">
        <v>17</v>
      </c>
    </row>
    <row r="113" spans="1:4">
      <c r="A113" s="68" t="s">
        <v>132</v>
      </c>
      <c r="B113" s="70">
        <v>9</v>
      </c>
      <c r="C113" s="70">
        <v>16</v>
      </c>
      <c r="D113" s="70">
        <v>18</v>
      </c>
    </row>
    <row r="114" spans="1:4">
      <c r="A114" s="68" t="s">
        <v>132</v>
      </c>
      <c r="B114" s="70">
        <v>10</v>
      </c>
      <c r="C114" s="70">
        <v>17</v>
      </c>
      <c r="D114" s="70">
        <v>19</v>
      </c>
    </row>
    <row r="115" spans="1:4">
      <c r="A115" s="68" t="s">
        <v>132</v>
      </c>
      <c r="B115" s="70">
        <v>11</v>
      </c>
      <c r="C115" s="70">
        <v>18</v>
      </c>
      <c r="D115" s="70">
        <v>20</v>
      </c>
    </row>
    <row r="116" spans="1:4">
      <c r="A116" s="68" t="s">
        <v>132</v>
      </c>
      <c r="B116" s="70">
        <v>12</v>
      </c>
      <c r="C116" s="70">
        <v>19</v>
      </c>
      <c r="D116" s="70">
        <v>21</v>
      </c>
    </row>
    <row r="117" spans="1:4">
      <c r="A117" s="68" t="s">
        <v>133</v>
      </c>
      <c r="B117" s="70">
        <v>1</v>
      </c>
      <c r="C117" s="70">
        <v>10</v>
      </c>
      <c r="D117" s="70">
        <v>12</v>
      </c>
    </row>
    <row r="118" spans="1:4">
      <c r="A118" s="68" t="s">
        <v>133</v>
      </c>
      <c r="B118" s="70">
        <v>2</v>
      </c>
      <c r="C118" s="70">
        <v>11</v>
      </c>
      <c r="D118" s="70">
        <v>13</v>
      </c>
    </row>
    <row r="119" spans="1:4">
      <c r="A119" s="68" t="s">
        <v>133</v>
      </c>
      <c r="B119" s="70">
        <v>3</v>
      </c>
      <c r="C119" s="70">
        <v>12</v>
      </c>
      <c r="D119" s="70">
        <v>14</v>
      </c>
    </row>
    <row r="120" spans="1:4">
      <c r="A120" s="68" t="s">
        <v>133</v>
      </c>
      <c r="B120" s="70">
        <v>4</v>
      </c>
      <c r="C120" s="70">
        <v>13</v>
      </c>
      <c r="D120" s="70">
        <v>14.5</v>
      </c>
    </row>
    <row r="121" spans="1:4">
      <c r="A121" s="68" t="s">
        <v>133</v>
      </c>
      <c r="B121" s="70">
        <v>5</v>
      </c>
      <c r="C121" s="70">
        <v>14</v>
      </c>
      <c r="D121" s="70">
        <v>15.5</v>
      </c>
    </row>
    <row r="122" spans="1:4">
      <c r="A122" s="68" t="s">
        <v>133</v>
      </c>
      <c r="B122" s="70">
        <v>6</v>
      </c>
      <c r="C122" s="70">
        <v>15</v>
      </c>
      <c r="D122" s="70">
        <v>16.5</v>
      </c>
    </row>
    <row r="123" spans="1:4">
      <c r="A123" s="68" t="s">
        <v>133</v>
      </c>
      <c r="B123" s="70">
        <v>7</v>
      </c>
      <c r="C123" s="70">
        <v>16</v>
      </c>
      <c r="D123" s="70">
        <v>17.5</v>
      </c>
    </row>
    <row r="124" spans="1:4">
      <c r="A124" s="68" t="s">
        <v>133</v>
      </c>
      <c r="B124" s="70">
        <v>8</v>
      </c>
      <c r="C124" s="70">
        <v>17</v>
      </c>
      <c r="D124" s="70">
        <v>18.5</v>
      </c>
    </row>
    <row r="125" spans="1:4">
      <c r="A125" s="68" t="s">
        <v>133</v>
      </c>
      <c r="B125" s="70">
        <v>9</v>
      </c>
      <c r="C125" s="70">
        <v>18</v>
      </c>
      <c r="D125" s="70">
        <v>19.5</v>
      </c>
    </row>
    <row r="126" spans="1:4">
      <c r="A126" s="68" t="s">
        <v>133</v>
      </c>
      <c r="B126" s="70">
        <v>10</v>
      </c>
      <c r="C126" s="70">
        <v>19</v>
      </c>
      <c r="D126" s="70">
        <v>20.5</v>
      </c>
    </row>
    <row r="127" spans="1:4">
      <c r="A127" s="68" t="s">
        <v>133</v>
      </c>
      <c r="B127" s="70">
        <v>15</v>
      </c>
      <c r="C127" s="70">
        <v>23.5</v>
      </c>
      <c r="D127" s="70">
        <v>25</v>
      </c>
    </row>
    <row r="128" spans="1:4">
      <c r="A128" s="68" t="s">
        <v>133</v>
      </c>
      <c r="B128" s="70">
        <v>20</v>
      </c>
      <c r="C128" s="70">
        <v>28</v>
      </c>
      <c r="D128" s="70">
        <v>30</v>
      </c>
    </row>
    <row r="129" spans="1:4">
      <c r="A129" s="68" t="s">
        <v>133</v>
      </c>
      <c r="B129" s="70">
        <v>25</v>
      </c>
      <c r="C129" s="70">
        <v>33</v>
      </c>
      <c r="D129" s="70">
        <v>34.5</v>
      </c>
    </row>
    <row r="130" spans="1:4">
      <c r="A130" s="68" t="s">
        <v>133</v>
      </c>
      <c r="B130" s="70">
        <v>30</v>
      </c>
      <c r="C130" s="70">
        <v>37.5</v>
      </c>
      <c r="D130" s="70">
        <v>39.5</v>
      </c>
    </row>
    <row r="131" spans="1:4">
      <c r="A131" s="68" t="s">
        <v>134</v>
      </c>
      <c r="B131" s="70">
        <v>1</v>
      </c>
      <c r="C131" s="70">
        <v>11</v>
      </c>
      <c r="D131" s="70">
        <v>13</v>
      </c>
    </row>
    <row r="132" spans="1:4">
      <c r="A132" s="68" t="s">
        <v>134</v>
      </c>
      <c r="B132" s="70">
        <v>2</v>
      </c>
      <c r="C132" s="70">
        <v>12</v>
      </c>
      <c r="D132" s="70">
        <v>14</v>
      </c>
    </row>
    <row r="133" spans="1:4">
      <c r="A133" s="68" t="s">
        <v>134</v>
      </c>
      <c r="B133" s="70">
        <v>3</v>
      </c>
      <c r="C133" s="70">
        <v>13</v>
      </c>
      <c r="D133" s="70">
        <v>15</v>
      </c>
    </row>
    <row r="134" spans="1:4">
      <c r="A134" s="68" t="s">
        <v>134</v>
      </c>
      <c r="B134" s="70">
        <v>4</v>
      </c>
      <c r="C134" s="70">
        <v>14</v>
      </c>
      <c r="D134" s="70">
        <v>16</v>
      </c>
    </row>
    <row r="135" spans="1:4">
      <c r="A135" s="68" t="s">
        <v>134</v>
      </c>
      <c r="B135" s="70">
        <v>5</v>
      </c>
      <c r="C135" s="70">
        <v>15</v>
      </c>
      <c r="D135" s="70">
        <v>17</v>
      </c>
    </row>
    <row r="136" spans="1:4">
      <c r="A136" s="68" t="s">
        <v>134</v>
      </c>
      <c r="B136" s="70">
        <v>6</v>
      </c>
      <c r="C136" s="70">
        <v>16</v>
      </c>
      <c r="D136" s="70">
        <v>18</v>
      </c>
    </row>
    <row r="137" spans="1:4">
      <c r="A137" s="68" t="s">
        <v>134</v>
      </c>
      <c r="B137" s="70">
        <v>7</v>
      </c>
      <c r="C137" s="70">
        <v>17</v>
      </c>
      <c r="D137" s="70">
        <v>19</v>
      </c>
    </row>
    <row r="138" spans="1:4">
      <c r="A138" s="68" t="s">
        <v>134</v>
      </c>
      <c r="B138" s="70">
        <v>8</v>
      </c>
      <c r="C138" s="70">
        <v>18</v>
      </c>
      <c r="D138" s="70">
        <v>20</v>
      </c>
    </row>
    <row r="139" spans="1:4">
      <c r="A139" s="68" t="s">
        <v>134</v>
      </c>
      <c r="B139" s="70">
        <v>9</v>
      </c>
      <c r="C139" s="70">
        <v>19</v>
      </c>
      <c r="D139" s="70">
        <v>21</v>
      </c>
    </row>
    <row r="140" spans="1:4">
      <c r="A140" s="68" t="s">
        <v>134</v>
      </c>
      <c r="B140" s="70">
        <v>10</v>
      </c>
      <c r="C140" s="70">
        <v>20</v>
      </c>
      <c r="D140" s="70">
        <v>22</v>
      </c>
    </row>
    <row r="141" spans="1:4">
      <c r="A141" s="68" t="s">
        <v>134</v>
      </c>
      <c r="B141" s="70">
        <v>15</v>
      </c>
      <c r="C141" s="70">
        <v>25</v>
      </c>
      <c r="D141" s="70">
        <v>27</v>
      </c>
    </row>
    <row r="142" spans="1:4">
      <c r="A142" s="68" t="s">
        <v>134</v>
      </c>
      <c r="B142" s="70">
        <v>20</v>
      </c>
      <c r="C142" s="70">
        <v>30</v>
      </c>
      <c r="D142" s="70">
        <v>32</v>
      </c>
    </row>
    <row r="143" spans="1:4">
      <c r="A143" s="68" t="s">
        <v>134</v>
      </c>
      <c r="B143" s="70">
        <v>25</v>
      </c>
      <c r="C143" s="70">
        <v>35</v>
      </c>
      <c r="D143" s="70">
        <v>37</v>
      </c>
    </row>
    <row r="144" spans="1:4">
      <c r="A144" s="68" t="s">
        <v>134</v>
      </c>
      <c r="B144" s="70">
        <v>30</v>
      </c>
      <c r="C144" s="70">
        <v>40</v>
      </c>
      <c r="D144" s="70">
        <v>42</v>
      </c>
    </row>
    <row r="145" spans="1:4">
      <c r="A145" s="68" t="s">
        <v>135</v>
      </c>
      <c r="B145" s="70">
        <v>20</v>
      </c>
      <c r="C145" s="70">
        <v>33</v>
      </c>
      <c r="D145" s="70">
        <v>35</v>
      </c>
    </row>
    <row r="146" spans="1:4">
      <c r="A146" s="68" t="s">
        <v>135</v>
      </c>
      <c r="B146" s="70">
        <v>21</v>
      </c>
      <c r="C146" s="70">
        <v>35</v>
      </c>
      <c r="D146" s="70">
        <v>37</v>
      </c>
    </row>
    <row r="147" spans="1:4">
      <c r="A147" s="68" t="s">
        <v>135</v>
      </c>
      <c r="B147" s="70">
        <v>22</v>
      </c>
      <c r="C147" s="70">
        <v>37</v>
      </c>
      <c r="D147" s="70">
        <v>39</v>
      </c>
    </row>
    <row r="148" spans="1:4">
      <c r="A148" s="68" t="s">
        <v>135</v>
      </c>
      <c r="B148" s="70">
        <v>23</v>
      </c>
      <c r="C148" s="70">
        <v>39</v>
      </c>
      <c r="D148" s="70">
        <v>41</v>
      </c>
    </row>
    <row r="149" spans="1:4">
      <c r="A149" s="68" t="s">
        <v>135</v>
      </c>
      <c r="B149" s="70">
        <v>24</v>
      </c>
      <c r="C149" s="70">
        <v>41</v>
      </c>
      <c r="D149" s="70">
        <v>43</v>
      </c>
    </row>
    <row r="150" spans="1:4">
      <c r="A150" s="68" t="s">
        <v>135</v>
      </c>
      <c r="B150" s="70">
        <v>25</v>
      </c>
      <c r="C150" s="70">
        <v>43</v>
      </c>
      <c r="D150" s="70">
        <v>45</v>
      </c>
    </row>
    <row r="151" spans="1:4">
      <c r="A151" s="68" t="s">
        <v>135</v>
      </c>
      <c r="B151" s="70">
        <v>26</v>
      </c>
      <c r="C151" s="70">
        <v>45</v>
      </c>
      <c r="D151" s="70">
        <v>47</v>
      </c>
    </row>
    <row r="152" spans="1:4">
      <c r="A152" s="68" t="s">
        <v>135</v>
      </c>
      <c r="B152" s="70">
        <v>27</v>
      </c>
      <c r="C152" s="70">
        <v>47</v>
      </c>
      <c r="D152" s="70">
        <v>49</v>
      </c>
    </row>
    <row r="153" spans="1:4">
      <c r="A153" s="68" t="s">
        <v>135</v>
      </c>
      <c r="B153" s="70">
        <v>28</v>
      </c>
      <c r="C153" s="70">
        <v>49</v>
      </c>
      <c r="D153" s="70">
        <v>51</v>
      </c>
    </row>
    <row r="154" spans="1:4">
      <c r="A154" s="68" t="s">
        <v>135</v>
      </c>
      <c r="B154" s="70">
        <v>29</v>
      </c>
      <c r="C154" s="70">
        <v>51</v>
      </c>
      <c r="D154" s="70">
        <v>53</v>
      </c>
    </row>
    <row r="155" spans="1:4">
      <c r="A155" s="68" t="s">
        <v>135</v>
      </c>
      <c r="B155" s="70">
        <v>30</v>
      </c>
      <c r="C155" s="70">
        <v>53</v>
      </c>
      <c r="D155" s="70">
        <v>55</v>
      </c>
    </row>
    <row r="158" ht="18" spans="1:4">
      <c r="A158" s="64" t="s">
        <v>141</v>
      </c>
      <c r="B158" s="65"/>
      <c r="C158" s="65"/>
      <c r="D158" s="65"/>
    </row>
    <row r="159" ht="34" spans="1:4">
      <c r="A159" s="66" t="s">
        <v>137</v>
      </c>
      <c r="B159" s="66" t="s">
        <v>138</v>
      </c>
      <c r="C159" s="66" t="s">
        <v>139</v>
      </c>
      <c r="D159" s="66" t="s">
        <v>140</v>
      </c>
    </row>
    <row r="160" spans="1:4">
      <c r="A160" s="68" t="s">
        <v>129</v>
      </c>
      <c r="B160" s="70">
        <v>0.1</v>
      </c>
      <c r="C160" s="70">
        <v>5.5</v>
      </c>
      <c r="D160" s="70">
        <v>7.5</v>
      </c>
    </row>
    <row r="161" spans="1:4">
      <c r="A161" s="68" t="s">
        <v>130</v>
      </c>
      <c r="B161" s="70">
        <v>0.1</v>
      </c>
      <c r="C161" s="70">
        <v>6</v>
      </c>
      <c r="D161" s="70">
        <v>8</v>
      </c>
    </row>
    <row r="162" spans="1:4">
      <c r="A162" s="68" t="s">
        <v>130</v>
      </c>
      <c r="B162" s="70">
        <v>0.25</v>
      </c>
      <c r="C162" s="70">
        <v>6</v>
      </c>
      <c r="D162" s="70">
        <v>8</v>
      </c>
    </row>
    <row r="163" spans="1:4">
      <c r="A163" s="68" t="s">
        <v>130</v>
      </c>
      <c r="B163" s="70">
        <v>0.5</v>
      </c>
      <c r="C163" s="70">
        <v>6.5</v>
      </c>
      <c r="D163" s="70">
        <v>8.5</v>
      </c>
    </row>
    <row r="164" spans="1:4">
      <c r="A164" s="68" t="s">
        <v>131</v>
      </c>
      <c r="B164" s="70">
        <v>1</v>
      </c>
      <c r="C164" s="70">
        <v>7</v>
      </c>
      <c r="D164" s="70">
        <v>9</v>
      </c>
    </row>
    <row r="165" spans="1:4">
      <c r="A165" s="68" t="s">
        <v>132</v>
      </c>
      <c r="B165" s="70">
        <v>0.25</v>
      </c>
      <c r="C165" s="70">
        <v>7</v>
      </c>
      <c r="D165" s="70">
        <v>9</v>
      </c>
    </row>
    <row r="166" spans="1:4">
      <c r="A166" s="68" t="s">
        <v>132</v>
      </c>
      <c r="B166" s="70">
        <v>0.5</v>
      </c>
      <c r="C166" s="70">
        <v>7.5</v>
      </c>
      <c r="D166" s="70">
        <v>9.5</v>
      </c>
    </row>
    <row r="167" spans="1:4">
      <c r="A167" s="68" t="s">
        <v>132</v>
      </c>
      <c r="B167" s="70">
        <v>1</v>
      </c>
      <c r="C167" s="70">
        <v>8</v>
      </c>
      <c r="D167" s="70">
        <v>10</v>
      </c>
    </row>
    <row r="168" spans="1:4">
      <c r="A168" s="68" t="s">
        <v>132</v>
      </c>
      <c r="B168" s="70">
        <v>1.5</v>
      </c>
      <c r="C168" s="70">
        <v>8.5</v>
      </c>
      <c r="D168" s="70">
        <v>11.5</v>
      </c>
    </row>
    <row r="169" spans="1:4">
      <c r="A169" s="68" t="s">
        <v>132</v>
      </c>
      <c r="B169" s="70">
        <v>2</v>
      </c>
      <c r="C169" s="70">
        <v>9</v>
      </c>
      <c r="D169" s="70">
        <v>12</v>
      </c>
    </row>
    <row r="170" spans="1:4">
      <c r="A170" s="68" t="s">
        <v>132</v>
      </c>
      <c r="B170" s="70">
        <v>3</v>
      </c>
      <c r="C170" s="70">
        <v>10</v>
      </c>
      <c r="D170" s="70">
        <v>13</v>
      </c>
    </row>
    <row r="171" spans="1:4">
      <c r="A171" s="68" t="s">
        <v>132</v>
      </c>
      <c r="B171" s="70">
        <v>4</v>
      </c>
      <c r="C171" s="70">
        <v>11</v>
      </c>
      <c r="D171" s="70">
        <v>14</v>
      </c>
    </row>
    <row r="172" spans="1:4">
      <c r="A172" s="68" t="s">
        <v>132</v>
      </c>
      <c r="B172" s="70">
        <v>5</v>
      </c>
      <c r="C172" s="70">
        <v>12</v>
      </c>
      <c r="D172" s="70">
        <v>15</v>
      </c>
    </row>
    <row r="173" spans="1:4">
      <c r="A173" s="68" t="s">
        <v>132</v>
      </c>
      <c r="B173" s="70">
        <v>6</v>
      </c>
      <c r="C173" s="70">
        <v>13</v>
      </c>
      <c r="D173" s="70">
        <v>16</v>
      </c>
    </row>
    <row r="174" spans="1:4">
      <c r="A174" s="68" t="s">
        <v>132</v>
      </c>
      <c r="B174" s="70">
        <v>7</v>
      </c>
      <c r="C174" s="70">
        <v>14</v>
      </c>
      <c r="D174" s="70">
        <v>17</v>
      </c>
    </row>
    <row r="175" spans="1:4">
      <c r="A175" s="68" t="s">
        <v>132</v>
      </c>
      <c r="B175" s="70">
        <v>8</v>
      </c>
      <c r="C175" s="70">
        <v>15</v>
      </c>
      <c r="D175" s="70">
        <v>18</v>
      </c>
    </row>
    <row r="176" spans="1:4">
      <c r="A176" s="68" t="s">
        <v>132</v>
      </c>
      <c r="B176" s="70">
        <v>9</v>
      </c>
      <c r="C176" s="70">
        <v>16</v>
      </c>
      <c r="D176" s="70">
        <v>19</v>
      </c>
    </row>
    <row r="177" spans="1:4">
      <c r="A177" s="68" t="s">
        <v>132</v>
      </c>
      <c r="B177" s="70">
        <v>10</v>
      </c>
      <c r="C177" s="70">
        <v>17</v>
      </c>
      <c r="D177" s="70">
        <v>20</v>
      </c>
    </row>
    <row r="178" spans="1:4">
      <c r="A178" s="68" t="s">
        <v>132</v>
      </c>
      <c r="B178" s="70">
        <v>11</v>
      </c>
      <c r="C178" s="70">
        <v>18</v>
      </c>
      <c r="D178" s="70">
        <v>21</v>
      </c>
    </row>
    <row r="179" spans="1:4">
      <c r="A179" s="68" t="s">
        <v>132</v>
      </c>
      <c r="B179" s="70">
        <v>12</v>
      </c>
      <c r="C179" s="70">
        <v>19</v>
      </c>
      <c r="D179" s="70">
        <v>22</v>
      </c>
    </row>
    <row r="180" spans="1:4">
      <c r="A180" s="68" t="s">
        <v>133</v>
      </c>
      <c r="B180" s="70">
        <v>1</v>
      </c>
      <c r="C180" s="70">
        <v>10</v>
      </c>
      <c r="D180" s="70">
        <v>14</v>
      </c>
    </row>
    <row r="181" spans="1:4">
      <c r="A181" s="68" t="s">
        <v>133</v>
      </c>
      <c r="B181" s="70">
        <v>2</v>
      </c>
      <c r="C181" s="70">
        <v>11</v>
      </c>
      <c r="D181" s="70">
        <v>15</v>
      </c>
    </row>
    <row r="182" spans="1:4">
      <c r="A182" s="68" t="s">
        <v>133</v>
      </c>
      <c r="B182" s="70">
        <v>3</v>
      </c>
      <c r="C182" s="70">
        <v>12</v>
      </c>
      <c r="D182" s="70">
        <v>16</v>
      </c>
    </row>
    <row r="183" spans="1:4">
      <c r="A183" s="68" t="s">
        <v>133</v>
      </c>
      <c r="B183" s="70">
        <v>4</v>
      </c>
      <c r="C183" s="70">
        <v>13</v>
      </c>
      <c r="D183" s="70">
        <v>17</v>
      </c>
    </row>
    <row r="184" spans="1:4">
      <c r="A184" s="68" t="s">
        <v>133</v>
      </c>
      <c r="B184" s="70">
        <v>5</v>
      </c>
      <c r="C184" s="70">
        <v>14</v>
      </c>
      <c r="D184" s="70">
        <v>18</v>
      </c>
    </row>
    <row r="185" spans="1:4">
      <c r="A185" s="68" t="s">
        <v>133</v>
      </c>
      <c r="B185" s="70">
        <v>6</v>
      </c>
      <c r="C185" s="70">
        <v>15</v>
      </c>
      <c r="D185" s="70">
        <v>19</v>
      </c>
    </row>
    <row r="186" spans="1:4">
      <c r="A186" s="68" t="s">
        <v>133</v>
      </c>
      <c r="B186" s="70">
        <v>7</v>
      </c>
      <c r="C186" s="70">
        <v>16</v>
      </c>
      <c r="D186" s="70">
        <v>20</v>
      </c>
    </row>
    <row r="187" spans="1:4">
      <c r="A187" s="68" t="s">
        <v>133</v>
      </c>
      <c r="B187" s="70">
        <v>8</v>
      </c>
      <c r="C187" s="70">
        <v>17</v>
      </c>
      <c r="D187" s="70">
        <v>21</v>
      </c>
    </row>
    <row r="188" spans="1:4">
      <c r="A188" s="68" t="s">
        <v>133</v>
      </c>
      <c r="B188" s="70">
        <v>9</v>
      </c>
      <c r="C188" s="70">
        <v>18</v>
      </c>
      <c r="D188" s="70">
        <v>22</v>
      </c>
    </row>
    <row r="189" spans="1:4">
      <c r="A189" s="68" t="s">
        <v>133</v>
      </c>
      <c r="B189" s="70">
        <v>10</v>
      </c>
      <c r="C189" s="70">
        <v>19</v>
      </c>
      <c r="D189" s="70">
        <v>23</v>
      </c>
    </row>
    <row r="190" spans="1:4">
      <c r="A190" s="68" t="s">
        <v>133</v>
      </c>
      <c r="B190" s="70">
        <v>15</v>
      </c>
      <c r="C190" s="70">
        <v>24</v>
      </c>
      <c r="D190" s="70">
        <v>28</v>
      </c>
    </row>
    <row r="191" spans="1:4">
      <c r="A191" s="68" t="s">
        <v>133</v>
      </c>
      <c r="B191" s="70">
        <v>20</v>
      </c>
      <c r="C191" s="70">
        <v>29</v>
      </c>
      <c r="D191" s="70">
        <v>33</v>
      </c>
    </row>
    <row r="192" spans="1:4">
      <c r="A192" s="68" t="s">
        <v>133</v>
      </c>
      <c r="B192" s="70">
        <v>25</v>
      </c>
      <c r="C192" s="70">
        <v>34</v>
      </c>
      <c r="D192" s="70">
        <v>38</v>
      </c>
    </row>
    <row r="193" spans="1:4">
      <c r="A193" s="68" t="s">
        <v>133</v>
      </c>
      <c r="B193" s="70">
        <v>30</v>
      </c>
      <c r="C193" s="70">
        <v>39</v>
      </c>
      <c r="D193" s="70">
        <v>43</v>
      </c>
    </row>
    <row r="194" spans="1:4">
      <c r="A194" s="68" t="s">
        <v>134</v>
      </c>
      <c r="B194" s="70">
        <v>4</v>
      </c>
      <c r="C194" s="70">
        <v>15.5</v>
      </c>
      <c r="D194" s="70">
        <v>18.5</v>
      </c>
    </row>
    <row r="195" spans="1:4">
      <c r="A195" s="68" t="s">
        <v>134</v>
      </c>
      <c r="B195" s="70">
        <v>5</v>
      </c>
      <c r="C195" s="70">
        <v>16.5</v>
      </c>
      <c r="D195" s="70">
        <v>19.5</v>
      </c>
    </row>
    <row r="196" spans="1:4">
      <c r="A196" s="68" t="s">
        <v>134</v>
      </c>
      <c r="B196" s="70">
        <v>6</v>
      </c>
      <c r="C196" s="70">
        <v>17.5</v>
      </c>
      <c r="D196" s="70">
        <v>20.5</v>
      </c>
    </row>
    <row r="197" spans="1:4">
      <c r="A197" s="68" t="s">
        <v>134</v>
      </c>
      <c r="B197" s="70">
        <v>7</v>
      </c>
      <c r="C197" s="70">
        <v>18.5</v>
      </c>
      <c r="D197" s="70">
        <v>21.5</v>
      </c>
    </row>
    <row r="198" spans="1:4">
      <c r="A198" s="68" t="s">
        <v>134</v>
      </c>
      <c r="B198" s="70">
        <v>8</v>
      </c>
      <c r="C198" s="70">
        <v>19.5</v>
      </c>
      <c r="D198" s="70">
        <v>22.5</v>
      </c>
    </row>
    <row r="199" spans="1:4">
      <c r="A199" s="68" t="s">
        <v>134</v>
      </c>
      <c r="B199" s="70">
        <v>9</v>
      </c>
      <c r="C199" s="70">
        <v>20.5</v>
      </c>
      <c r="D199" s="70">
        <v>23.5</v>
      </c>
    </row>
    <row r="200" spans="1:4">
      <c r="A200" s="68" t="s">
        <v>134</v>
      </c>
      <c r="B200" s="70">
        <v>10</v>
      </c>
      <c r="C200" s="70">
        <v>21.5</v>
      </c>
      <c r="D200" s="70">
        <v>24.5</v>
      </c>
    </row>
    <row r="201" spans="1:4">
      <c r="A201" s="68" t="s">
        <v>134</v>
      </c>
      <c r="B201" s="70">
        <v>15</v>
      </c>
      <c r="C201" s="70">
        <v>25</v>
      </c>
      <c r="D201" s="70">
        <v>29</v>
      </c>
    </row>
    <row r="202" spans="1:4">
      <c r="A202" s="68" t="s">
        <v>134</v>
      </c>
      <c r="B202" s="70">
        <v>20</v>
      </c>
      <c r="C202" s="70">
        <v>30</v>
      </c>
      <c r="D202" s="70">
        <v>34</v>
      </c>
    </row>
    <row r="203" spans="1:4">
      <c r="A203" s="68" t="s">
        <v>134</v>
      </c>
      <c r="B203" s="70">
        <v>25</v>
      </c>
      <c r="C203" s="70">
        <v>35</v>
      </c>
      <c r="D203" s="70">
        <v>39</v>
      </c>
    </row>
    <row r="204" spans="1:4">
      <c r="A204" s="68" t="s">
        <v>134</v>
      </c>
      <c r="B204" s="70">
        <v>30</v>
      </c>
      <c r="C204" s="70">
        <v>39</v>
      </c>
      <c r="D204" s="70">
        <v>44</v>
      </c>
    </row>
    <row r="205" spans="1:4">
      <c r="A205" s="68" t="s">
        <v>135</v>
      </c>
      <c r="B205" s="70">
        <v>20</v>
      </c>
      <c r="C205" s="70">
        <v>33</v>
      </c>
      <c r="D205" s="70">
        <v>37</v>
      </c>
    </row>
    <row r="206" spans="1:4">
      <c r="A206" s="68" t="s">
        <v>135</v>
      </c>
      <c r="B206" s="70">
        <v>21</v>
      </c>
      <c r="C206" s="70">
        <v>35</v>
      </c>
      <c r="D206" s="70">
        <v>39</v>
      </c>
    </row>
    <row r="207" spans="1:4">
      <c r="A207" s="68" t="s">
        <v>135</v>
      </c>
      <c r="B207" s="70">
        <v>22</v>
      </c>
      <c r="C207" s="70">
        <v>37</v>
      </c>
      <c r="D207" s="70">
        <v>41</v>
      </c>
    </row>
    <row r="208" spans="1:4">
      <c r="A208" s="68" t="s">
        <v>135</v>
      </c>
      <c r="B208" s="70">
        <v>23</v>
      </c>
      <c r="C208" s="70">
        <v>39</v>
      </c>
      <c r="D208" s="70">
        <v>43</v>
      </c>
    </row>
    <row r="209" spans="1:5">
      <c r="A209" s="68" t="s">
        <v>135</v>
      </c>
      <c r="B209" s="70">
        <v>24</v>
      </c>
      <c r="C209" s="70">
        <v>41</v>
      </c>
      <c r="D209" s="70">
        <v>45</v>
      </c>
    </row>
    <row r="210" spans="1:5">
      <c r="A210" s="68" t="s">
        <v>135</v>
      </c>
      <c r="B210" s="70">
        <v>25</v>
      </c>
      <c r="C210" s="70">
        <v>43</v>
      </c>
      <c r="D210" s="70">
        <v>47</v>
      </c>
    </row>
    <row r="211" spans="1:5">
      <c r="A211" s="68" t="s">
        <v>135</v>
      </c>
      <c r="B211" s="70">
        <v>26</v>
      </c>
      <c r="C211" s="70">
        <v>45</v>
      </c>
      <c r="D211" s="70">
        <v>49</v>
      </c>
    </row>
    <row r="212" spans="1:5">
      <c r="A212" s="68" t="s">
        <v>135</v>
      </c>
      <c r="B212" s="70">
        <v>27</v>
      </c>
      <c r="C212" s="70">
        <v>47</v>
      </c>
      <c r="D212" s="70">
        <v>51</v>
      </c>
    </row>
    <row r="213" spans="1:5">
      <c r="A213" s="68" t="s">
        <v>135</v>
      </c>
      <c r="B213" s="70">
        <v>28</v>
      </c>
      <c r="C213" s="70">
        <v>49</v>
      </c>
      <c r="D213" s="70">
        <v>53</v>
      </c>
    </row>
    <row r="214" spans="1:5">
      <c r="A214" s="68" t="s">
        <v>135</v>
      </c>
      <c r="B214" s="70">
        <v>29</v>
      </c>
      <c r="C214" s="70">
        <v>51</v>
      </c>
      <c r="D214" s="70">
        <v>55</v>
      </c>
    </row>
    <row r="215" spans="1:5">
      <c r="A215" s="68" t="s">
        <v>135</v>
      </c>
      <c r="B215" s="70">
        <v>30</v>
      </c>
      <c r="C215" s="70">
        <v>53</v>
      </c>
      <c r="D215" s="70">
        <v>57</v>
      </c>
    </row>
    <row r="216" spans="1:5">
      <c r="A216" s="68" t="s">
        <v>135</v>
      </c>
      <c r="B216" s="70">
        <v>35</v>
      </c>
      <c r="C216" s="70">
        <v>61</v>
      </c>
      <c r="D216" s="70">
        <v>65</v>
      </c>
    </row>
    <row r="217" spans="1:5">
      <c r="A217" s="68" t="s">
        <v>135</v>
      </c>
      <c r="B217" s="70">
        <v>40</v>
      </c>
      <c r="C217" s="70">
        <v>70</v>
      </c>
      <c r="D217" s="70">
        <v>75</v>
      </c>
    </row>
    <row r="220" ht="36" spans="1:5">
      <c r="A220" s="64" t="s">
        <v>142</v>
      </c>
      <c r="B220" s="65"/>
      <c r="C220" s="65"/>
      <c r="D220" s="65"/>
      <c r="E220" s="65"/>
    </row>
    <row r="221" ht="34" spans="1:5">
      <c r="A221" s="66" t="s">
        <v>138</v>
      </c>
      <c r="B221" s="66" t="s">
        <v>143</v>
      </c>
      <c r="C221" s="66" t="s">
        <v>144</v>
      </c>
      <c r="D221" s="66" t="s">
        <v>145</v>
      </c>
      <c r="E221" s="66" t="s">
        <v>146</v>
      </c>
    </row>
    <row r="222" spans="1:5">
      <c r="A222" s="70">
        <v>0.25</v>
      </c>
      <c r="B222" s="70">
        <v>12</v>
      </c>
      <c r="C222" s="70">
        <v>14</v>
      </c>
      <c r="D222" s="70">
        <v>17</v>
      </c>
      <c r="E222" s="70">
        <v>19</v>
      </c>
    </row>
    <row r="223" spans="1:5">
      <c r="A223" s="70">
        <v>0.5</v>
      </c>
      <c r="B223" s="70">
        <v>12.5</v>
      </c>
      <c r="C223" s="70">
        <v>14.5</v>
      </c>
      <c r="D223" s="70">
        <v>17.5</v>
      </c>
      <c r="E223" s="70">
        <v>19.5</v>
      </c>
    </row>
    <row r="224" spans="1:5">
      <c r="A224" s="70">
        <v>1</v>
      </c>
      <c r="B224" s="70">
        <v>13</v>
      </c>
      <c r="C224" s="70">
        <v>15</v>
      </c>
      <c r="D224" s="70">
        <v>18.5</v>
      </c>
      <c r="E224" s="70">
        <v>20.5</v>
      </c>
    </row>
    <row r="225" spans="1:5">
      <c r="A225" s="70">
        <v>1.5</v>
      </c>
      <c r="B225" s="70">
        <v>13.5</v>
      </c>
      <c r="C225" s="70">
        <v>15.5</v>
      </c>
      <c r="D225" s="70">
        <v>19.5</v>
      </c>
      <c r="E225" s="70">
        <v>21.5</v>
      </c>
    </row>
    <row r="226" spans="1:5">
      <c r="A226" s="70">
        <v>2</v>
      </c>
      <c r="B226" s="70">
        <v>14</v>
      </c>
      <c r="C226" s="70">
        <v>16</v>
      </c>
      <c r="D226" s="70">
        <v>20.5</v>
      </c>
      <c r="E226" s="70">
        <v>22.5</v>
      </c>
    </row>
    <row r="227" spans="1:5">
      <c r="A227" s="70">
        <v>3</v>
      </c>
      <c r="B227" s="70">
        <v>15.5</v>
      </c>
      <c r="C227" s="70">
        <v>17.5</v>
      </c>
      <c r="D227" s="70">
        <v>27</v>
      </c>
      <c r="E227" s="70">
        <v>29</v>
      </c>
    </row>
    <row r="228" spans="1:5">
      <c r="A228" s="70">
        <v>4</v>
      </c>
      <c r="B228" s="70">
        <v>16.5</v>
      </c>
      <c r="C228" s="70">
        <v>18.5</v>
      </c>
      <c r="D228" s="70">
        <v>28</v>
      </c>
      <c r="E228" s="70">
        <v>30</v>
      </c>
    </row>
    <row r="229" spans="1:5">
      <c r="A229" s="70">
        <v>5</v>
      </c>
      <c r="B229" s="70">
        <v>17.5</v>
      </c>
      <c r="C229" s="70">
        <v>19.5</v>
      </c>
      <c r="D229" s="70">
        <v>29</v>
      </c>
      <c r="E229" s="70">
        <v>31</v>
      </c>
    </row>
    <row r="230" spans="1:5">
      <c r="A230" s="70">
        <v>6</v>
      </c>
      <c r="B230" s="70">
        <v>18.5</v>
      </c>
      <c r="C230" s="70">
        <v>20.5</v>
      </c>
      <c r="D230" s="70">
        <v>30</v>
      </c>
      <c r="E230" s="70">
        <v>32</v>
      </c>
    </row>
    <row r="231" spans="1:5">
      <c r="A231" s="70">
        <v>7</v>
      </c>
      <c r="B231" s="70">
        <v>19.5</v>
      </c>
      <c r="C231" s="70">
        <v>21.5</v>
      </c>
      <c r="D231" s="70">
        <v>31</v>
      </c>
      <c r="E231" s="70">
        <v>33</v>
      </c>
    </row>
    <row r="232" spans="1:5">
      <c r="A232" s="70">
        <v>8</v>
      </c>
      <c r="B232" s="70">
        <v>20.5</v>
      </c>
      <c r="C232" s="70">
        <v>22.5</v>
      </c>
      <c r="D232" s="70">
        <v>32</v>
      </c>
      <c r="E232" s="70">
        <v>34</v>
      </c>
    </row>
    <row r="233" spans="1:5">
      <c r="A233" s="70">
        <v>9</v>
      </c>
      <c r="B233" s="70">
        <v>21.5</v>
      </c>
      <c r="C233" s="70">
        <v>23.5</v>
      </c>
      <c r="D233" s="70">
        <v>33</v>
      </c>
      <c r="E233" s="70">
        <v>35</v>
      </c>
    </row>
    <row r="234" spans="1:5">
      <c r="A234" s="70">
        <v>10</v>
      </c>
      <c r="B234" s="70">
        <v>22.5</v>
      </c>
      <c r="C234" s="70">
        <v>24.5</v>
      </c>
      <c r="D234" s="70">
        <v>34</v>
      </c>
      <c r="E234" s="70">
        <v>36</v>
      </c>
    </row>
    <row r="235" spans="1:5">
      <c r="A235" s="70">
        <v>15</v>
      </c>
      <c r="B235" s="70">
        <v>30</v>
      </c>
      <c r="C235" s="70">
        <v>32</v>
      </c>
      <c r="D235" s="70">
        <v>39</v>
      </c>
      <c r="E235" s="70">
        <v>41</v>
      </c>
    </row>
    <row r="236" spans="1:5">
      <c r="A236" s="70">
        <v>20</v>
      </c>
      <c r="B236" s="70">
        <v>34</v>
      </c>
      <c r="C236" s="70">
        <v>36</v>
      </c>
      <c r="D236" s="70">
        <v>43</v>
      </c>
      <c r="E236" s="70">
        <v>45</v>
      </c>
    </row>
    <row r="237" spans="1:5">
      <c r="A237" s="70">
        <v>25</v>
      </c>
      <c r="B237" s="70">
        <v>38</v>
      </c>
      <c r="C237" s="70">
        <v>40</v>
      </c>
      <c r="D237" s="70">
        <v>47</v>
      </c>
      <c r="E237" s="70">
        <v>49</v>
      </c>
    </row>
    <row r="238" spans="1:5">
      <c r="A238" s="70">
        <v>30</v>
      </c>
      <c r="B238" s="70">
        <v>42</v>
      </c>
      <c r="C238" s="70">
        <v>44</v>
      </c>
      <c r="D238" s="70">
        <v>51</v>
      </c>
      <c r="E238" s="70">
        <v>53</v>
      </c>
    </row>
    <row r="241" ht="36" spans="1:3">
      <c r="A241" s="64" t="s">
        <v>147</v>
      </c>
      <c r="B241" s="65"/>
      <c r="C241" s="65"/>
    </row>
    <row r="242" ht="34" spans="1:3">
      <c r="A242" s="66" t="s">
        <v>148</v>
      </c>
      <c r="B242" s="66" t="s">
        <v>149</v>
      </c>
      <c r="C242" s="66" t="s">
        <v>150</v>
      </c>
    </row>
    <row r="243" spans="1:3">
      <c r="A243" s="68" t="s">
        <v>151</v>
      </c>
      <c r="B243" s="68" t="s">
        <v>152</v>
      </c>
      <c r="C243" s="68" t="s">
        <v>153</v>
      </c>
    </row>
    <row r="244" spans="1:3">
      <c r="A244" s="68" t="s">
        <v>151</v>
      </c>
      <c r="B244" s="68" t="s">
        <v>154</v>
      </c>
      <c r="C244" s="68" t="s">
        <v>155</v>
      </c>
    </row>
    <row r="245" spans="1:3">
      <c r="A245" s="68" t="s">
        <v>156</v>
      </c>
      <c r="B245" s="68" t="s">
        <v>157</v>
      </c>
      <c r="C245" s="68" t="s">
        <v>158</v>
      </c>
    </row>
    <row r="246" spans="1:3">
      <c r="A246" s="68" t="s">
        <v>156</v>
      </c>
      <c r="B246" s="68" t="s">
        <v>159</v>
      </c>
      <c r="C246" s="68" t="s">
        <v>160</v>
      </c>
    </row>
    <row r="247" spans="1:3">
      <c r="A247" s="68" t="s">
        <v>156</v>
      </c>
      <c r="B247" s="68" t="s">
        <v>161</v>
      </c>
      <c r="C247" s="68" t="s">
        <v>155</v>
      </c>
    </row>
    <row r="250" ht="36" spans="1:3">
      <c r="A250" s="64" t="s">
        <v>162</v>
      </c>
      <c r="B250" s="65"/>
      <c r="C250" s="65"/>
    </row>
    <row r="251" ht="17" spans="1:3">
      <c r="A251" s="66" t="s">
        <v>163</v>
      </c>
      <c r="B251" s="66" t="s">
        <v>164</v>
      </c>
      <c r="C251" s="66" t="s">
        <v>165</v>
      </c>
    </row>
    <row r="252" spans="1:3">
      <c r="A252" s="68" t="s">
        <v>166</v>
      </c>
      <c r="B252" s="70" t="s">
        <v>167</v>
      </c>
      <c r="C252" s="68" t="s">
        <v>168</v>
      </c>
    </row>
    <row r="253" ht="31" spans="1:3">
      <c r="A253" s="68" t="s">
        <v>169</v>
      </c>
      <c r="B253" s="70" t="s">
        <v>167</v>
      </c>
      <c r="C253" s="68" t="s">
        <v>170</v>
      </c>
    </row>
    <row r="254" spans="1:3">
      <c r="A254" s="68" t="s">
        <v>171</v>
      </c>
      <c r="B254" s="70" t="s">
        <v>167</v>
      </c>
      <c r="C254" s="68" t="s">
        <v>168</v>
      </c>
    </row>
    <row r="255" spans="1:3">
      <c r="A255" s="68" t="s">
        <v>172</v>
      </c>
      <c r="B255" s="70" t="s">
        <v>167</v>
      </c>
      <c r="C255" s="68" t="s">
        <v>168</v>
      </c>
    </row>
    <row r="256" ht="31" spans="1:3">
      <c r="A256" s="68" t="s">
        <v>173</v>
      </c>
      <c r="B256" s="70" t="s">
        <v>174</v>
      </c>
      <c r="C256" s="68" t="s">
        <v>175</v>
      </c>
    </row>
    <row r="257" spans="1:3">
      <c r="A257" s="68" t="s">
        <v>176</v>
      </c>
      <c r="B257" s="70" t="s">
        <v>177</v>
      </c>
      <c r="C257" s="68" t="s">
        <v>178</v>
      </c>
    </row>
    <row r="258" ht="31" spans="1:3">
      <c r="A258" s="68" t="s">
        <v>179</v>
      </c>
      <c r="B258" s="70" t="s">
        <v>180</v>
      </c>
      <c r="C258" s="68" t="s">
        <v>181</v>
      </c>
    </row>
    <row r="259" spans="1:3">
      <c r="A259" s="68" t="s">
        <v>182</v>
      </c>
      <c r="B259" s="70" t="s">
        <v>167</v>
      </c>
      <c r="C259" s="68" t="s">
        <v>168</v>
      </c>
    </row>
    <row r="260" spans="1:3">
      <c r="A260" s="68" t="s">
        <v>183</v>
      </c>
      <c r="B260" s="70" t="s">
        <v>167</v>
      </c>
      <c r="C260" s="68" t="s">
        <v>168</v>
      </c>
    </row>
    <row r="261" spans="1:3">
      <c r="A261" s="68" t="s">
        <v>184</v>
      </c>
      <c r="B261" s="70" t="s">
        <v>167</v>
      </c>
      <c r="C261" s="68" t="s">
        <v>168</v>
      </c>
    </row>
    <row r="264" ht="18" spans="1:3">
      <c r="A264" s="64" t="s">
        <v>185</v>
      </c>
      <c r="B264" s="65"/>
    </row>
    <row r="265" ht="17" spans="1:3">
      <c r="A265" s="66" t="s">
        <v>186</v>
      </c>
      <c r="B265" s="66" t="s">
        <v>187</v>
      </c>
    </row>
    <row r="266" spans="1:3">
      <c r="A266" s="68" t="s">
        <v>188</v>
      </c>
      <c r="B266" s="70" t="s">
        <v>177</v>
      </c>
    </row>
    <row r="267" spans="1:3">
      <c r="A267" s="68" t="s">
        <v>189</v>
      </c>
      <c r="B267" s="70" t="s">
        <v>167</v>
      </c>
    </row>
    <row r="268" spans="1:3">
      <c r="A268" s="68" t="s">
        <v>190</v>
      </c>
      <c r="B268" s="70" t="s">
        <v>191</v>
      </c>
    </row>
    <row r="269" spans="1:3">
      <c r="A269" s="68" t="s">
        <v>192</v>
      </c>
      <c r="B269" s="70" t="s">
        <v>167</v>
      </c>
    </row>
    <row r="270" spans="1:3">
      <c r="A270" s="68" t="s">
        <v>193</v>
      </c>
      <c r="B270" s="70" t="s">
        <v>194</v>
      </c>
    </row>
    <row r="271" spans="1:3">
      <c r="A271" s="68" t="s">
        <v>195</v>
      </c>
      <c r="B271" s="70" t="s">
        <v>194</v>
      </c>
    </row>
  </sheetData>
  <dataValidations count="1">
    <dataValidation type="list" error="请选择 Drop-off 或 Pick-up" sqref="B9">
      <formula1>"Drop-off,Pick-up"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2"/>
  <sheetViews>
    <sheetView workbookViewId="0">
      <pane xSplit="14" ySplit="2" topLeftCell="O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6.8"/>
  <cols>
    <col min="1" max="1" width="10" customWidth="1"/>
    <col min="2" max="2" width="14" customWidth="1"/>
    <col min="3" max="3" width="28" customWidth="1"/>
    <col min="4" max="4" width="12" customWidth="1"/>
    <col min="5" max="5" width="16" customWidth="1"/>
    <col min="6" max="6" width="14" customWidth="1"/>
    <col min="7" max="7" width="16" customWidth="1"/>
    <col min="8" max="11" width="8" customWidth="1"/>
    <col min="12" max="14" width="12" customWidth="1"/>
    <col min="15" max="69" width="14" customWidth="1"/>
  </cols>
  <sheetData>
    <row r="1" ht="17.6" spans="1:69">
      <c r="A1" s="36" t="s">
        <v>196</v>
      </c>
      <c r="O1" s="37" t="s">
        <v>197</v>
      </c>
      <c r="Y1" s="38" t="s">
        <v>198</v>
      </c>
      <c r="AH1" s="39" t="s">
        <v>199</v>
      </c>
      <c r="AP1" s="40" t="s">
        <v>200</v>
      </c>
      <c r="AX1" s="41" t="s">
        <v>201</v>
      </c>
      <c r="BF1" s="42" t="s">
        <v>202</v>
      </c>
    </row>
    <row r="2" ht="31" spans="1:69">
      <c r="A2" s="43" t="s">
        <v>203</v>
      </c>
      <c r="B2" s="43" t="s">
        <v>204</v>
      </c>
      <c r="C2" s="43" t="s">
        <v>44</v>
      </c>
      <c r="D2" s="43" t="s">
        <v>205</v>
      </c>
      <c r="E2" s="43" t="s">
        <v>206</v>
      </c>
      <c r="F2" s="43" t="s">
        <v>207</v>
      </c>
      <c r="G2" s="43" t="s">
        <v>208</v>
      </c>
      <c r="H2" s="43" t="s">
        <v>209</v>
      </c>
      <c r="I2" s="43" t="s">
        <v>210</v>
      </c>
      <c r="J2" s="43" t="s">
        <v>211</v>
      </c>
      <c r="K2" s="43" t="s">
        <v>212</v>
      </c>
      <c r="L2" s="43" t="s">
        <v>213</v>
      </c>
      <c r="M2" s="43" t="s">
        <v>214</v>
      </c>
      <c r="N2" s="43" t="s">
        <v>215</v>
      </c>
      <c r="O2" s="44" t="s">
        <v>216</v>
      </c>
      <c r="P2" s="44" t="s">
        <v>217</v>
      </c>
      <c r="Q2" s="44" t="s">
        <v>218</v>
      </c>
      <c r="R2" s="44" t="s">
        <v>219</v>
      </c>
      <c r="S2" s="44" t="s">
        <v>220</v>
      </c>
      <c r="T2" s="44" t="s">
        <v>221</v>
      </c>
      <c r="U2" s="44" t="s">
        <v>222</v>
      </c>
      <c r="V2" s="44" t="s">
        <v>223</v>
      </c>
      <c r="W2" s="44" t="s">
        <v>224</v>
      </c>
      <c r="X2" s="44" t="s">
        <v>225</v>
      </c>
      <c r="Y2" s="45" t="s">
        <v>226</v>
      </c>
      <c r="Z2" s="45" t="s">
        <v>227</v>
      </c>
      <c r="AA2" s="45" t="s">
        <v>228</v>
      </c>
      <c r="AB2" s="45" t="s">
        <v>229</v>
      </c>
      <c r="AC2" s="45" t="s">
        <v>230</v>
      </c>
      <c r="AD2" s="45" t="s">
        <v>231</v>
      </c>
      <c r="AE2" s="45" t="s">
        <v>232</v>
      </c>
      <c r="AF2" s="45" t="s">
        <v>233</v>
      </c>
      <c r="AG2" s="45" t="s">
        <v>234</v>
      </c>
      <c r="AH2" s="46" t="s">
        <v>235</v>
      </c>
      <c r="AI2" s="46" t="s">
        <v>236</v>
      </c>
      <c r="AJ2" s="46" t="s">
        <v>237</v>
      </c>
      <c r="AK2" s="46" t="s">
        <v>238</v>
      </c>
      <c r="AL2" s="46" t="s">
        <v>239</v>
      </c>
      <c r="AM2" s="46" t="s">
        <v>240</v>
      </c>
      <c r="AN2" s="46" t="s">
        <v>241</v>
      </c>
      <c r="AO2" s="46" t="s">
        <v>242</v>
      </c>
      <c r="AP2" s="47" t="s">
        <v>235</v>
      </c>
      <c r="AQ2" s="47" t="s">
        <v>243</v>
      </c>
      <c r="AR2" s="47" t="s">
        <v>244</v>
      </c>
      <c r="AS2" s="47" t="s">
        <v>237</v>
      </c>
      <c r="AT2" s="47" t="s">
        <v>238</v>
      </c>
      <c r="AU2" s="47" t="s">
        <v>240</v>
      </c>
      <c r="AV2" s="47" t="s">
        <v>241</v>
      </c>
      <c r="AW2" s="47" t="s">
        <v>242</v>
      </c>
      <c r="AX2" s="48" t="s">
        <v>235</v>
      </c>
      <c r="AY2" s="48" t="s">
        <v>243</v>
      </c>
      <c r="AZ2" s="48" t="s">
        <v>244</v>
      </c>
      <c r="BA2" s="48" t="s">
        <v>237</v>
      </c>
      <c r="BB2" s="48" t="s">
        <v>238</v>
      </c>
      <c r="BC2" s="48" t="s">
        <v>240</v>
      </c>
      <c r="BD2" s="48" t="s">
        <v>241</v>
      </c>
      <c r="BE2" s="48" t="s">
        <v>242</v>
      </c>
      <c r="BF2" s="49" t="s">
        <v>245</v>
      </c>
      <c r="BG2" s="49" t="s">
        <v>246</v>
      </c>
      <c r="BH2" s="49" t="s">
        <v>247</v>
      </c>
      <c r="BI2" s="49" t="s">
        <v>248</v>
      </c>
      <c r="BJ2" s="49" t="s">
        <v>249</v>
      </c>
      <c r="BK2" s="49" t="s">
        <v>250</v>
      </c>
      <c r="BL2" s="49" t="s">
        <v>251</v>
      </c>
      <c r="BM2" s="49" t="s">
        <v>237</v>
      </c>
      <c r="BN2" s="49" t="s">
        <v>238</v>
      </c>
      <c r="BO2" s="49" t="s">
        <v>240</v>
      </c>
      <c r="BP2" s="49" t="s">
        <v>252</v>
      </c>
      <c r="BQ2" s="49" t="s">
        <v>242</v>
      </c>
    </row>
    <row r="3" spans="1:69">
      <c r="A3" s="50"/>
      <c r="B3" s="50"/>
      <c r="C3" s="50"/>
      <c r="D3" s="51">
        <v>5</v>
      </c>
      <c r="E3" s="52">
        <v>800</v>
      </c>
      <c r="F3" s="52">
        <v>45</v>
      </c>
      <c r="G3" s="52">
        <v>2</v>
      </c>
      <c r="H3" s="52">
        <v>5</v>
      </c>
      <c r="I3" s="52">
        <v>5</v>
      </c>
      <c r="J3" s="52">
        <v>1</v>
      </c>
      <c r="K3" s="52">
        <v>0.01</v>
      </c>
      <c r="L3" s="52">
        <v>15</v>
      </c>
      <c r="M3" s="53">
        <v>0.05</v>
      </c>
      <c r="N3" s="53">
        <v>0.05</v>
      </c>
      <c r="O3" s="54">
        <f>L3*UAE_Exch-AO3</f>
        <v>11.22</v>
      </c>
      <c r="P3" s="55">
        <f>IF(L3&gt;0,O3/(L3*UAE_Exch),0)</f>
        <v>0.381632653061224</v>
      </c>
      <c r="Q3" s="54">
        <f>(L3+AR3)*UAE_Exch-AW3</f>
        <v>41.11</v>
      </c>
      <c r="R3" s="55">
        <f>IF(L3&gt;0,Q3/(L3*UAE_Exch),0)</f>
        <v>1.39829931972789</v>
      </c>
      <c r="S3" s="54">
        <f>(L3+AZ3)*UAE_Exch-BE3</f>
        <v>34.305</v>
      </c>
      <c r="T3" s="55">
        <f>IF(L3&gt;0,S3/(L3*UAE_Exch),0)</f>
        <v>1.16683673469388</v>
      </c>
      <c r="U3" s="54">
        <f>BF3*KSA_Exch-BQ3</f>
        <v>8.53569482288828</v>
      </c>
      <c r="V3" s="55">
        <f>IF(BF3&gt;0,U3/(BF3*KSA_Exch),0)</f>
        <v>0.304558333333333</v>
      </c>
      <c r="W3" s="56" t="str">
        <f t="shared" ref="W3:W22" si="0">IF(MAX(O3,Q3,S3,U3)=O3,"FBN",IF(MAX(O3,Q3,S3,U3)=Q3,"海外仓FBP",IF(MAX(O3,Q3,S3,U3)=S3,"直邮FBP","Global")))</f>
        <v>海外仓FBP</v>
      </c>
      <c r="X3" s="54">
        <f t="shared" ref="X3:X22" si="1">MAX(O3,Q3,S3,U3)</f>
        <v>41.11</v>
      </c>
      <c r="Y3" s="57">
        <f>GCC_DefaultDuty</f>
        <v>0.05</v>
      </c>
      <c r="Z3" s="58">
        <f t="shared" ref="Z3:Z22" si="2">H3*I3*J3/5000</f>
        <v>0.005</v>
      </c>
      <c r="AA3" s="58">
        <f t="shared" ref="AA3:AA22" si="3">MAX(K3,Z3)</f>
        <v>0.01</v>
      </c>
      <c r="AB3" s="58" t="str">
        <f t="shared" ref="AB3:AB22" si="4">IF(AND(MAX(H3,I3,J3)&lt;=20,MEDIAN(H3,I3,J3)&lt;=15,MIN(H3,I3,J3)&lt;=1),"Small Envelope",IF(AND(MAX(H3,I3,J3)&lt;=33,MEDIAN(H3,I3,J3)&lt;=23,MIN(H3,I3,J3)&lt;=2.5),"Standard Envelope",IF(AND(MAX(H3,I3,J3)&lt;=33,MEDIAN(H3,I3,J3)&lt;=23,MIN(H3,I3,J3)&lt;=5),"Large Envelope",IF(AND(MAX(H3,I3,J3)&lt;=45,MEDIAN(H3,I3,J3)&lt;=34,MIN(H3,I3,J3)&lt;=26),"Standard Parcel",IF(AND(MAX(H3,I3,J3)&lt;=130,MEDIAN(H3,I3,J3)&lt;=34,MIN(H3,I3,J3)&lt;=26),"Oversize",IF(AND(MAX(H3,I3,J3)&lt;=130,MEDIAN(H3,I3,J3)&lt;=130,MIN(H3,I3,J3)&lt;=130),"Extra Oversize","Bulky"))))))</f>
        <v>Small Envelope</v>
      </c>
      <c r="AC3" s="58">
        <f>IFERROR(VLOOKUP(AB3,FBN_SizeTiers,5,FALSE),0)</f>
        <v>0.02</v>
      </c>
      <c r="AD3" s="58">
        <f>IFERROR(MIN(MAX(K3,Z3)+AC3,VLOOKUP(AB3,FBN_SizeTiers,6,FALSE)),0)</f>
        <v>0.03</v>
      </c>
      <c r="AE3" s="59">
        <f>L3/(1+UAE_VAT)*UAE_VAT</f>
        <v>0.714285714285714</v>
      </c>
      <c r="AF3" s="59">
        <f>IFERROR(IF(INDEX(Comm_Table,MATCH(C3,INDEX(Comm_Table,,1),0),2)="Fixed",L3*INDEX(Comm_Table,MATCH(C3,INDEX(Comm_Table,,1),0),3),IF(INDEX(Comm_Table,MATCH(C3,INDEX(Comm_Table,,1),0),2)="Threshold",IF(L3&lt;=INDEX(Comm_Table,MATCH(C3,INDEX(Comm_Table,,1),0),4),L3*INDEX(Comm_Table,MATCH(C3,INDEX(Comm_Table,,1),0),3),L3*INDEX(Comm_Table,MATCH(C3,INDEX(Comm_Table,,1),0),5)),MIN(L3,INDEX(Comm_Table,MATCH(C3,INDEX(Comm_Table,,1),0),4))*INDEX(Comm_Table,MATCH(C3,INDEX(Comm_Table,,1),0),3)+MAX(0,L3-INDEX(Comm_Table,MATCH(C3,INDEX(Comm_Table,,1),0),4))*INDEX(Comm_Table,MATCH(C3,INDEX(Comm_Table,,1),0),5))),0)</f>
        <v>0</v>
      </c>
      <c r="AG3" s="59">
        <f>IFERROR(IF(INDEX(Comm_Table,MATCH(C3,INDEX(Comm_Table,,1),0),6)="Fixed",L3*INDEX(Comm_Table,MATCH(C3,INDEX(Comm_Table,,1),0),7),IF(INDEX(Comm_Table,MATCH(C3,INDEX(Comm_Table,,1),0),6)="Threshold",IF(L3&lt;=INDEX(Comm_Table,MATCH(C3,INDEX(Comm_Table,,1),0),8),L3*INDEX(Comm_Table,MATCH(C3,INDEX(Comm_Table,,1),0),7),L3*INDEX(Comm_Table,MATCH(C3,INDEX(Comm_Table,,1),0),9)),MIN(L3,INDEX(Comm_Table,MATCH(C3,INDEX(Comm_Table,,1),0),8))*INDEX(Comm_Table,MATCH(C3,INDEX(Comm_Table,,1),0),7)+MAX(0,L3-INDEX(Comm_Table,MATCH(C3,INDEX(Comm_Table,,1),0),8))*INDEX(Comm_Table,MATCH(C3,INDEX(Comm_Table,,1),0),9))),0)</f>
        <v>0</v>
      </c>
      <c r="AH3" s="60">
        <f t="shared" ref="AH3:AH22" si="5">(H3*I3*J3/1000000)*E3</f>
        <v>0.02</v>
      </c>
      <c r="AI3" s="60">
        <f t="shared" ref="AI3:AI22" si="6">IF(AB3="Small Envelope",IF(L3&lt;=25,5,7),IF(AB3="Standard Envelope",IF(AD3&lt;=0.1,IF(L3&lt;=25,5.5,7.5),IF(AD3&lt;=0.25,IF(L3&lt;=25,6,8),IF(L3&lt;=25,6,8))),IF(AB3="Large Envelope",IF(L3&lt;=25,6.5,8.5),IF(AB3="Standard Parcel",IF(AD3&lt;=0.25,IF(L3&lt;=25,7,8.5),IF(AD3&lt;=0.5,IF(L3&lt;=25,7,9),IF(AD3&lt;=1,IF(L3&lt;=25,8,10),IF(AD3&lt;=1.5,IF(L3&lt;=25,8.5,10.5),IF(AD3&lt;=2,IF(L3&lt;=25,9,11),IF(AD3&lt;=3,IF(L3&lt;=25,10,12),IF(AD3&lt;=4,IF(L3&lt;=25,11,13),IF(AD3&lt;=5,IF(L3&lt;=25,12,14),IF(AD3&lt;=6,IF(L3&lt;=25,13,15),IF(AD3&lt;=7,IF(L3&lt;=25,14,16),IF(AD3&lt;=8,IF(L3&lt;=25,15,17),IF(AD3&lt;=9,IF(L3&lt;=25,16,18),IF(AD3&lt;=10,IF(L3&lt;=25,17,19),IF(AD3&lt;=11,IF(L3&lt;=25,18,20),IF(L3&lt;=25,19,21))))))))))))))),IF(AB3="Oversize",IF(AD3&lt;=1,IF(L3&lt;=25,10,12),IF(AD3&lt;=2,IF(L3&lt;=25,11,13),IF(AD3&lt;=3,IF(L3&lt;=25,12,14),IF(AD3&lt;=4,IF(L3&lt;=25,13,14.5),IF(AD3&lt;=5,IF(L3&lt;=25,14,15.5),IF(AD3&lt;=6,IF(L3&lt;=25,15,16.5),IF(AD3&lt;=7,IF(L3&lt;=25,16,17.5),IF(AD3&lt;=8,IF(L3&lt;=25,17,18.5),IF(AD3&lt;=9,IF(L3&lt;=25,18,19.5),IF(AD3&lt;=10,IF(L3&lt;=25,19,20.5),IF(AD3&lt;=15,IF(L3&lt;=25,23.5,25),IF(AD3&lt;=20,IF(L3&lt;=25,28,30),IF(AD3&lt;=25,IF(L3&lt;=25,33,34.5),IF(L3&lt;=25,37.5,39.5)))))))))))))),IF(AB3="Extra Oversize",IF(AD3&lt;=1,IF(L3&lt;=25,11,13),IF(AD3&lt;=2,IF(L3&lt;=25,12,14),IF(AD3&lt;=3,IF(L3&lt;=25,13,15),IF(AD3&lt;=4,IF(L3&lt;=25,14,16),IF(AD3&lt;=5,IF(L3&lt;=25,15,17),IF(AD3&lt;=6,IF(L3&lt;=25,16,18),IF(AD3&lt;=7,IF(L3&lt;=25,17,19),IF(AD3&lt;=8,IF(L3&lt;=25,18,20),IF(AD3&lt;=9,IF(L3&lt;=25,19,21),IF(AD3&lt;=10,IF(L3&lt;=25,20,22),IF(AD3&lt;=15,IF(L3&lt;=25,25,27),IF(AD3&lt;=20,IF(L3&lt;=25,30,32),IF(AD3&lt;=25,IF(L3&lt;=25,35,37),IF(L3&lt;=25,40,42)))))))))))))),IF(AB3="Bulky",IF(AD3&lt;=20,IF(L3&lt;=25,33,35),IF(AD3&lt;=21,IF(L3&lt;=25,35,37),IF(AD3&lt;=22,IF(L3&lt;=25,37,39),IF(AD3&lt;=23,IF(L3&lt;=25,39,41),IF(AD3&lt;=24,IF(L3&lt;=25,41,43),IF(AD3&lt;=25,IF(L3&lt;=25,43,45),IF(AD3&lt;=26,IF(L3&lt;=25,45,47),IF(AD3&lt;=27,IF(L3&lt;=25,47,49),IF(AD3&lt;=28,IF(L3&lt;=25,49,51),IF(AD3&lt;=29,IF(L3&lt;=25,51,53),IF(L3&lt;=25,53,55))))))))))),0)))))))</f>
        <v>5</v>
      </c>
      <c r="AJ3" s="60">
        <f>AF3*UAE_VAT</f>
        <v>0</v>
      </c>
      <c r="AK3" s="60">
        <f t="shared" ref="AK3:AK22" si="7">L3*M3</f>
        <v>0.75</v>
      </c>
      <c r="AL3" s="60">
        <f t="shared" ref="AL3:AL22" si="8">MIN(15,AF3*0.2)</f>
        <v>0</v>
      </c>
      <c r="AM3" s="60">
        <f t="shared" ref="AM3:AM22" si="9">AL3*N3</f>
        <v>0</v>
      </c>
      <c r="AN3" s="60">
        <f>(AI3+UAE_Restock)*N3</f>
        <v>0.25</v>
      </c>
      <c r="AO3" s="60">
        <f>D3+AH3+(AE3+AF3+AJ3+AI3+AK3+AM3+AN3)*UAE_Exch</f>
        <v>18.18</v>
      </c>
      <c r="AP3" s="61">
        <f t="shared" ref="AP3:AP22" si="10">(H3*I3*J3/1000000)*E3</f>
        <v>0.02</v>
      </c>
      <c r="AQ3" s="61">
        <f>IFERROR(INDEX(FBP_Fees,MATCH(AA3,INDEX(FBP_Fees,,1),1),IF(FBP_DeliveryMode="Drop-off",2,3)),0)</f>
        <v>0</v>
      </c>
      <c r="AR3" s="61">
        <f t="shared" ref="AR3:AR22" si="11">IF(L3&lt;100,10,0)</f>
        <v>10</v>
      </c>
      <c r="AS3" s="61">
        <f>AG3*UAE_VAT</f>
        <v>0</v>
      </c>
      <c r="AT3" s="61">
        <f t="shared" ref="AT3:AT22" si="12">L3*M3</f>
        <v>0.75</v>
      </c>
      <c r="AU3" s="61">
        <f t="shared" ref="AU3:AU22" si="13">MIN(15,AG3*0.2)*N3</f>
        <v>0</v>
      </c>
      <c r="AV3" s="61">
        <f>(AQ3+UAE_Restock)*N3</f>
        <v>0</v>
      </c>
      <c r="AW3" s="61">
        <f>D3+AP3+(AE3+AG3+AS3+AQ3+AT3+AU3+AV3)*UAE_Exch</f>
        <v>7.89</v>
      </c>
      <c r="AX3" s="62">
        <f t="shared" ref="AX3:AX22" si="14">CEILING(AA3,0.1)*F3+G3</f>
        <v>6.5</v>
      </c>
      <c r="AY3" s="62">
        <f>IFERROR(INDEX(FBP_Fees,MATCH(AA3,INDEX(FBP_Fees,,1),1),IF(FBP_DeliveryMode="Drop-off",2,3)),0)</f>
        <v>0</v>
      </c>
      <c r="AZ3" s="62">
        <f t="shared" ref="AZ3:AZ22" si="15">IF(L3&lt;100,10,0)</f>
        <v>10</v>
      </c>
      <c r="BA3" s="62">
        <f>AG3*UAE_VAT</f>
        <v>0</v>
      </c>
      <c r="BB3" s="62">
        <f t="shared" ref="BB3:BB22" si="16">L3*M3</f>
        <v>0.75</v>
      </c>
      <c r="BC3" s="62">
        <f t="shared" ref="BC3:BC22" si="17">MIN(15,AG3*0.2)*N3</f>
        <v>0</v>
      </c>
      <c r="BD3" s="62">
        <f>(AX3/UAE_Exch+AY3+UAE_Restock)*N3</f>
        <v>0.165816326530612</v>
      </c>
      <c r="BE3" s="62">
        <f>D3+AX3+(AE3+AG3+BA3+AY3+BB3+BC3+BD3)*UAE_Exch</f>
        <v>14.695</v>
      </c>
      <c r="BF3" s="63">
        <f>(L3/1.05/USD_AED)*USD_SAR</f>
        <v>14.5971195017517</v>
      </c>
      <c r="BG3" s="63">
        <f t="shared" ref="BG3:BG22" si="18">BF3*Y3</f>
        <v>0.729855975087583</v>
      </c>
      <c r="BH3" s="63">
        <f>MAX(KSA_ClearanceFeeMin,MIN(KSA_ClearanceFeeMax,BF3*KSA_ClearanceFeeRate))</f>
        <v>15</v>
      </c>
      <c r="BI3" s="63">
        <f>(BF3+BG3)*KSA_VAT</f>
        <v>2.29904632152589</v>
      </c>
      <c r="BJ3" s="63">
        <f>(BF3+BG3+BH3)*(1+KSA_VAT)</f>
        <v>34.8760217983651</v>
      </c>
      <c r="BK3" s="63">
        <f>L3*CrossBorderFeeRate</f>
        <v>0.75</v>
      </c>
      <c r="BL3" s="63">
        <f t="shared" ref="BL3:BL22" si="19">AF3</f>
        <v>0</v>
      </c>
      <c r="BM3" s="63">
        <f>BL3*UAE_VAT</f>
        <v>0</v>
      </c>
      <c r="BN3" s="63">
        <f t="shared" ref="BN3:BN22" si="20">L3*M3</f>
        <v>0.75</v>
      </c>
      <c r="BO3" s="63">
        <f t="shared" ref="BO3:BO22" si="21">MIN(15,BL3*0.2)*N3</f>
        <v>0</v>
      </c>
      <c r="BP3" s="63">
        <f t="shared" ref="BP3:BP22" si="22">(BI3+BG3+BH3)*N3</f>
        <v>0.901445114830673</v>
      </c>
      <c r="BQ3" s="63">
        <f>D3+AH3+(BK3+BL3+BM3+BN3+BO3+AI3)*UAE_Exch+(BP3)*KSA_Exch</f>
        <v>19.4907746204749</v>
      </c>
    </row>
    <row r="4" spans="1:69">
      <c r="A4" s="50"/>
      <c r="B4" s="50"/>
      <c r="C4" s="50"/>
      <c r="D4" s="51">
        <v>5</v>
      </c>
      <c r="E4" s="52">
        <v>800</v>
      </c>
      <c r="F4" s="52">
        <v>45</v>
      </c>
      <c r="G4" s="52">
        <v>2</v>
      </c>
      <c r="H4" s="52">
        <v>5</v>
      </c>
      <c r="I4" s="52">
        <v>5</v>
      </c>
      <c r="J4" s="52">
        <v>1</v>
      </c>
      <c r="K4" s="52">
        <v>0.01</v>
      </c>
      <c r="L4" s="52">
        <v>15</v>
      </c>
      <c r="M4" s="53">
        <v>0.05</v>
      </c>
      <c r="N4" s="53">
        <v>0.05</v>
      </c>
      <c r="O4" s="54">
        <f>L4*UAE_Exch-AO4</f>
        <v>11.22</v>
      </c>
      <c r="P4" s="55">
        <f>IF(L4&gt;0,O4/(L4*UAE_Exch),0)</f>
        <v>0.381632653061224</v>
      </c>
      <c r="Q4" s="54">
        <f>(L4+AR4)*UAE_Exch-AW4</f>
        <v>41.11</v>
      </c>
      <c r="R4" s="55">
        <f>IF(L4&gt;0,Q4/(L4*UAE_Exch),0)</f>
        <v>1.39829931972789</v>
      </c>
      <c r="S4" s="54">
        <f>(L4+AZ4)*UAE_Exch-BE4</f>
        <v>34.305</v>
      </c>
      <c r="T4" s="55">
        <f>IF(L4&gt;0,S4/(L4*UAE_Exch),0)</f>
        <v>1.16683673469388</v>
      </c>
      <c r="U4" s="54">
        <f>BF4*KSA_Exch-BQ4</f>
        <v>8.53569482288828</v>
      </c>
      <c r="V4" s="55">
        <f>IF(BF4&gt;0,U4/(BF4*KSA_Exch),0)</f>
        <v>0.304558333333333</v>
      </c>
      <c r="W4" s="56" t="str">
        <f t="shared" si="0"/>
        <v>海外仓FBP</v>
      </c>
      <c r="X4" s="54">
        <f t="shared" si="1"/>
        <v>41.11</v>
      </c>
      <c r="Y4" s="57">
        <f>GCC_DefaultDuty</f>
        <v>0.05</v>
      </c>
      <c r="Z4" s="58">
        <f t="shared" si="2"/>
        <v>0.005</v>
      </c>
      <c r="AA4" s="58">
        <f t="shared" si="3"/>
        <v>0.01</v>
      </c>
      <c r="AB4" s="58" t="str">
        <f t="shared" si="4"/>
        <v>Small Envelope</v>
      </c>
      <c r="AC4" s="58">
        <f>IFERROR(VLOOKUP(AB4,FBN_SizeTiers,5,FALSE),0)</f>
        <v>0.02</v>
      </c>
      <c r="AD4" s="58">
        <f>IFERROR(MIN(MAX(K4,Z4)+AC4,VLOOKUP(AB4,FBN_SizeTiers,6,FALSE)),0)</f>
        <v>0.03</v>
      </c>
      <c r="AE4" s="59">
        <f>L4/(1+UAE_VAT)*UAE_VAT</f>
        <v>0.714285714285714</v>
      </c>
      <c r="AF4" s="59">
        <f>IFERROR(IF(INDEX(Comm_Table,MATCH(C4,INDEX(Comm_Table,,1),0),2)="Fixed",L4*INDEX(Comm_Table,MATCH(C4,INDEX(Comm_Table,,1),0),3),IF(INDEX(Comm_Table,MATCH(C4,INDEX(Comm_Table,,1),0),2)="Threshold",IF(L4&lt;=INDEX(Comm_Table,MATCH(C4,INDEX(Comm_Table,,1),0),4),L4*INDEX(Comm_Table,MATCH(C4,INDEX(Comm_Table,,1),0),3),L4*INDEX(Comm_Table,MATCH(C4,INDEX(Comm_Table,,1),0),5)),MIN(L4,INDEX(Comm_Table,MATCH(C4,INDEX(Comm_Table,,1),0),4))*INDEX(Comm_Table,MATCH(C4,INDEX(Comm_Table,,1),0),3)+MAX(0,L4-INDEX(Comm_Table,MATCH(C4,INDEX(Comm_Table,,1),0),4))*INDEX(Comm_Table,MATCH(C4,INDEX(Comm_Table,,1),0),5))),0)</f>
        <v>0</v>
      </c>
      <c r="AG4" s="59">
        <f>IFERROR(IF(INDEX(Comm_Table,MATCH(C4,INDEX(Comm_Table,,1),0),6)="Fixed",L4*INDEX(Comm_Table,MATCH(C4,INDEX(Comm_Table,,1),0),7),IF(INDEX(Comm_Table,MATCH(C4,INDEX(Comm_Table,,1),0),6)="Threshold",IF(L4&lt;=INDEX(Comm_Table,MATCH(C4,INDEX(Comm_Table,,1),0),8),L4*INDEX(Comm_Table,MATCH(C4,INDEX(Comm_Table,,1),0),7),L4*INDEX(Comm_Table,MATCH(C4,INDEX(Comm_Table,,1),0),9)),MIN(L4,INDEX(Comm_Table,MATCH(C4,INDEX(Comm_Table,,1),0),8))*INDEX(Comm_Table,MATCH(C4,INDEX(Comm_Table,,1),0),7)+MAX(0,L4-INDEX(Comm_Table,MATCH(C4,INDEX(Comm_Table,,1),0),8))*INDEX(Comm_Table,MATCH(C4,INDEX(Comm_Table,,1),0),9))),0)</f>
        <v>0</v>
      </c>
      <c r="AH4" s="60">
        <f t="shared" si="5"/>
        <v>0.02</v>
      </c>
      <c r="AI4" s="60">
        <f t="shared" si="6"/>
        <v>5</v>
      </c>
      <c r="AJ4" s="60">
        <f>AF4*UAE_VAT</f>
        <v>0</v>
      </c>
      <c r="AK4" s="60">
        <f t="shared" si="7"/>
        <v>0.75</v>
      </c>
      <c r="AL4" s="60">
        <f t="shared" si="8"/>
        <v>0</v>
      </c>
      <c r="AM4" s="60">
        <f t="shared" si="9"/>
        <v>0</v>
      </c>
      <c r="AN4" s="60">
        <f>(AI4+UAE_Restock)*N4</f>
        <v>0.25</v>
      </c>
      <c r="AO4" s="60">
        <f>D4+AH4+(AE4+AF4+AJ4+AI4+AK4+AM4+AN4)*UAE_Exch</f>
        <v>18.18</v>
      </c>
      <c r="AP4" s="61">
        <f t="shared" si="10"/>
        <v>0.02</v>
      </c>
      <c r="AQ4" s="61">
        <f>IFERROR(INDEX(FBP_Fees,MATCH(AA4,INDEX(FBP_Fees,,1),1),IF(FBP_DeliveryMode="Drop-off",2,3)),0)</f>
        <v>0</v>
      </c>
      <c r="AR4" s="61">
        <f t="shared" si="11"/>
        <v>10</v>
      </c>
      <c r="AS4" s="61">
        <f>AG4*UAE_VAT</f>
        <v>0</v>
      </c>
      <c r="AT4" s="61">
        <f t="shared" si="12"/>
        <v>0.75</v>
      </c>
      <c r="AU4" s="61">
        <f t="shared" si="13"/>
        <v>0</v>
      </c>
      <c r="AV4" s="61">
        <f>(AQ4+UAE_Restock)*N4</f>
        <v>0</v>
      </c>
      <c r="AW4" s="61">
        <f>D4+AP4+(AE4+AG4+AS4+AQ4+AT4+AU4+AV4)*UAE_Exch</f>
        <v>7.89</v>
      </c>
      <c r="AX4" s="62">
        <f t="shared" si="14"/>
        <v>6.5</v>
      </c>
      <c r="AY4" s="62">
        <f>IFERROR(INDEX(FBP_Fees,MATCH(AA4,INDEX(FBP_Fees,,1),1),IF(FBP_DeliveryMode="Drop-off",2,3)),0)</f>
        <v>0</v>
      </c>
      <c r="AZ4" s="62">
        <f t="shared" si="15"/>
        <v>10</v>
      </c>
      <c r="BA4" s="62">
        <f>AG4*UAE_VAT</f>
        <v>0</v>
      </c>
      <c r="BB4" s="62">
        <f t="shared" si="16"/>
        <v>0.75</v>
      </c>
      <c r="BC4" s="62">
        <f t="shared" si="17"/>
        <v>0</v>
      </c>
      <c r="BD4" s="62">
        <f>(AX4/UAE_Exch+AY4+UAE_Restock)*N4</f>
        <v>0.165816326530612</v>
      </c>
      <c r="BE4" s="62">
        <f>D4+AX4+(AE4+AG4+BA4+AY4+BB4+BC4+BD4)*UAE_Exch</f>
        <v>14.695</v>
      </c>
      <c r="BF4" s="63">
        <f>(L4/1.05/USD_AED)*USD_SAR</f>
        <v>14.5971195017517</v>
      </c>
      <c r="BG4" s="63">
        <f t="shared" si="18"/>
        <v>0.729855975087583</v>
      </c>
      <c r="BH4" s="63">
        <f>MAX(KSA_ClearanceFeeMin,MIN(KSA_ClearanceFeeMax,BF4*KSA_ClearanceFeeRate))</f>
        <v>15</v>
      </c>
      <c r="BI4" s="63">
        <f>(BF4+BG4)*KSA_VAT</f>
        <v>2.29904632152589</v>
      </c>
      <c r="BJ4" s="63">
        <f>(BF4+BG4+BH4)*(1+KSA_VAT)</f>
        <v>34.8760217983651</v>
      </c>
      <c r="BK4" s="63">
        <f>L4*CrossBorderFeeRate</f>
        <v>0.75</v>
      </c>
      <c r="BL4" s="63">
        <f t="shared" si="19"/>
        <v>0</v>
      </c>
      <c r="BM4" s="63">
        <f>BL4*UAE_VAT</f>
        <v>0</v>
      </c>
      <c r="BN4" s="63">
        <f t="shared" si="20"/>
        <v>0.75</v>
      </c>
      <c r="BO4" s="63">
        <f t="shared" si="21"/>
        <v>0</v>
      </c>
      <c r="BP4" s="63">
        <f t="shared" si="22"/>
        <v>0.901445114830673</v>
      </c>
      <c r="BQ4" s="63">
        <f>D4+AH4+(BK4+BL4+BM4+BN4+BO4+AI4)*UAE_Exch+(BP4)*KSA_Exch</f>
        <v>19.4907746204749</v>
      </c>
    </row>
    <row r="5" spans="1:69">
      <c r="A5" s="50"/>
      <c r="B5" s="50"/>
      <c r="C5" s="50"/>
      <c r="D5" s="51">
        <v>5</v>
      </c>
      <c r="E5" s="52">
        <v>800</v>
      </c>
      <c r="F5" s="52">
        <v>45</v>
      </c>
      <c r="G5" s="52">
        <v>2</v>
      </c>
      <c r="H5" s="52">
        <v>5</v>
      </c>
      <c r="I5" s="52">
        <v>5</v>
      </c>
      <c r="J5" s="52">
        <v>1</v>
      </c>
      <c r="K5" s="52">
        <v>0.01</v>
      </c>
      <c r="L5" s="52">
        <v>15</v>
      </c>
      <c r="M5" s="53">
        <v>0.05</v>
      </c>
      <c r="N5" s="53">
        <v>0.05</v>
      </c>
      <c r="O5" s="54">
        <f>L5*UAE_Exch-AO5</f>
        <v>11.22</v>
      </c>
      <c r="P5" s="55">
        <f>IF(L5&gt;0,O5/(L5*UAE_Exch),0)</f>
        <v>0.381632653061224</v>
      </c>
      <c r="Q5" s="54">
        <f>(L5+AR5)*UAE_Exch-AW5</f>
        <v>41.11</v>
      </c>
      <c r="R5" s="55">
        <f>IF(L5&gt;0,Q5/(L5*UAE_Exch),0)</f>
        <v>1.39829931972789</v>
      </c>
      <c r="S5" s="54">
        <f>(L5+AZ5)*UAE_Exch-BE5</f>
        <v>34.305</v>
      </c>
      <c r="T5" s="55">
        <f>IF(L5&gt;0,S5/(L5*UAE_Exch),0)</f>
        <v>1.16683673469388</v>
      </c>
      <c r="U5" s="54">
        <f>BF5*KSA_Exch-BQ5</f>
        <v>8.53569482288828</v>
      </c>
      <c r="V5" s="55">
        <f>IF(BF5&gt;0,U5/(BF5*KSA_Exch),0)</f>
        <v>0.304558333333333</v>
      </c>
      <c r="W5" s="56" t="str">
        <f t="shared" si="0"/>
        <v>海外仓FBP</v>
      </c>
      <c r="X5" s="54">
        <f t="shared" si="1"/>
        <v>41.11</v>
      </c>
      <c r="Y5" s="57">
        <f>GCC_DefaultDuty</f>
        <v>0.05</v>
      </c>
      <c r="Z5" s="58">
        <f t="shared" si="2"/>
        <v>0.005</v>
      </c>
      <c r="AA5" s="58">
        <f t="shared" si="3"/>
        <v>0.01</v>
      </c>
      <c r="AB5" s="58" t="str">
        <f t="shared" si="4"/>
        <v>Small Envelope</v>
      </c>
      <c r="AC5" s="58">
        <f>IFERROR(VLOOKUP(AB5,FBN_SizeTiers,5,FALSE),0)</f>
        <v>0.02</v>
      </c>
      <c r="AD5" s="58">
        <f>IFERROR(MIN(MAX(K5,Z5)+AC5,VLOOKUP(AB5,FBN_SizeTiers,6,FALSE)),0)</f>
        <v>0.03</v>
      </c>
      <c r="AE5" s="59">
        <f>L5/(1+UAE_VAT)*UAE_VAT</f>
        <v>0.714285714285714</v>
      </c>
      <c r="AF5" s="59">
        <f>IFERROR(IF(INDEX(Comm_Table,MATCH(C5,INDEX(Comm_Table,,1),0),2)="Fixed",L5*INDEX(Comm_Table,MATCH(C5,INDEX(Comm_Table,,1),0),3),IF(INDEX(Comm_Table,MATCH(C5,INDEX(Comm_Table,,1),0),2)="Threshold",IF(L5&lt;=INDEX(Comm_Table,MATCH(C5,INDEX(Comm_Table,,1),0),4),L5*INDEX(Comm_Table,MATCH(C5,INDEX(Comm_Table,,1),0),3),L5*INDEX(Comm_Table,MATCH(C5,INDEX(Comm_Table,,1),0),5)),MIN(L5,INDEX(Comm_Table,MATCH(C5,INDEX(Comm_Table,,1),0),4))*INDEX(Comm_Table,MATCH(C5,INDEX(Comm_Table,,1),0),3)+MAX(0,L5-INDEX(Comm_Table,MATCH(C5,INDEX(Comm_Table,,1),0),4))*INDEX(Comm_Table,MATCH(C5,INDEX(Comm_Table,,1),0),5))),0)</f>
        <v>0</v>
      </c>
      <c r="AG5" s="59">
        <f>IFERROR(IF(INDEX(Comm_Table,MATCH(C5,INDEX(Comm_Table,,1),0),6)="Fixed",L5*INDEX(Comm_Table,MATCH(C5,INDEX(Comm_Table,,1),0),7),IF(INDEX(Comm_Table,MATCH(C5,INDEX(Comm_Table,,1),0),6)="Threshold",IF(L5&lt;=INDEX(Comm_Table,MATCH(C5,INDEX(Comm_Table,,1),0),8),L5*INDEX(Comm_Table,MATCH(C5,INDEX(Comm_Table,,1),0),7),L5*INDEX(Comm_Table,MATCH(C5,INDEX(Comm_Table,,1),0),9)),MIN(L5,INDEX(Comm_Table,MATCH(C5,INDEX(Comm_Table,,1),0),8))*INDEX(Comm_Table,MATCH(C5,INDEX(Comm_Table,,1),0),7)+MAX(0,L5-INDEX(Comm_Table,MATCH(C5,INDEX(Comm_Table,,1),0),8))*INDEX(Comm_Table,MATCH(C5,INDEX(Comm_Table,,1),0),9))),0)</f>
        <v>0</v>
      </c>
      <c r="AH5" s="60">
        <f t="shared" si="5"/>
        <v>0.02</v>
      </c>
      <c r="AI5" s="60">
        <f t="shared" si="6"/>
        <v>5</v>
      </c>
      <c r="AJ5" s="60">
        <f>AF5*UAE_VAT</f>
        <v>0</v>
      </c>
      <c r="AK5" s="60">
        <f t="shared" si="7"/>
        <v>0.75</v>
      </c>
      <c r="AL5" s="60">
        <f t="shared" si="8"/>
        <v>0</v>
      </c>
      <c r="AM5" s="60">
        <f t="shared" si="9"/>
        <v>0</v>
      </c>
      <c r="AN5" s="60">
        <f>(AI5+UAE_Restock)*N5</f>
        <v>0.25</v>
      </c>
      <c r="AO5" s="60">
        <f>D5+AH5+(AE5+AF5+AJ5+AI5+AK5+AM5+AN5)*UAE_Exch</f>
        <v>18.18</v>
      </c>
      <c r="AP5" s="61">
        <f t="shared" si="10"/>
        <v>0.02</v>
      </c>
      <c r="AQ5" s="61">
        <f>IFERROR(INDEX(FBP_Fees,MATCH(AA5,INDEX(FBP_Fees,,1),1),IF(FBP_DeliveryMode="Drop-off",2,3)),0)</f>
        <v>0</v>
      </c>
      <c r="AR5" s="61">
        <f t="shared" si="11"/>
        <v>10</v>
      </c>
      <c r="AS5" s="61">
        <f>AG5*UAE_VAT</f>
        <v>0</v>
      </c>
      <c r="AT5" s="61">
        <f t="shared" si="12"/>
        <v>0.75</v>
      </c>
      <c r="AU5" s="61">
        <f t="shared" si="13"/>
        <v>0</v>
      </c>
      <c r="AV5" s="61">
        <f>(AQ5+UAE_Restock)*N5</f>
        <v>0</v>
      </c>
      <c r="AW5" s="61">
        <f>D5+AP5+(AE5+AG5+AS5+AQ5+AT5+AU5+AV5)*UAE_Exch</f>
        <v>7.89</v>
      </c>
      <c r="AX5" s="62">
        <f t="shared" si="14"/>
        <v>6.5</v>
      </c>
      <c r="AY5" s="62">
        <f>IFERROR(INDEX(FBP_Fees,MATCH(AA5,INDEX(FBP_Fees,,1),1),IF(FBP_DeliveryMode="Drop-off",2,3)),0)</f>
        <v>0</v>
      </c>
      <c r="AZ5" s="62">
        <f t="shared" si="15"/>
        <v>10</v>
      </c>
      <c r="BA5" s="62">
        <f>AG5*UAE_VAT</f>
        <v>0</v>
      </c>
      <c r="BB5" s="62">
        <f t="shared" si="16"/>
        <v>0.75</v>
      </c>
      <c r="BC5" s="62">
        <f t="shared" si="17"/>
        <v>0</v>
      </c>
      <c r="BD5" s="62">
        <f>(AX5/UAE_Exch+AY5+UAE_Restock)*N5</f>
        <v>0.165816326530612</v>
      </c>
      <c r="BE5" s="62">
        <f>D5+AX5+(AE5+AG5+BA5+AY5+BB5+BC5+BD5)*UAE_Exch</f>
        <v>14.695</v>
      </c>
      <c r="BF5" s="63">
        <f>(L5/1.05/USD_AED)*USD_SAR</f>
        <v>14.5971195017517</v>
      </c>
      <c r="BG5" s="63">
        <f t="shared" si="18"/>
        <v>0.729855975087583</v>
      </c>
      <c r="BH5" s="63">
        <f>MAX(KSA_ClearanceFeeMin,MIN(KSA_ClearanceFeeMax,BF5*KSA_ClearanceFeeRate))</f>
        <v>15</v>
      </c>
      <c r="BI5" s="63">
        <f>(BF5+BG5)*KSA_VAT</f>
        <v>2.29904632152589</v>
      </c>
      <c r="BJ5" s="63">
        <f>(BF5+BG5+BH5)*(1+KSA_VAT)</f>
        <v>34.8760217983651</v>
      </c>
      <c r="BK5" s="63">
        <f>L5*CrossBorderFeeRate</f>
        <v>0.75</v>
      </c>
      <c r="BL5" s="63">
        <f t="shared" si="19"/>
        <v>0</v>
      </c>
      <c r="BM5" s="63">
        <f>BL5*UAE_VAT</f>
        <v>0</v>
      </c>
      <c r="BN5" s="63">
        <f t="shared" si="20"/>
        <v>0.75</v>
      </c>
      <c r="BO5" s="63">
        <f t="shared" si="21"/>
        <v>0</v>
      </c>
      <c r="BP5" s="63">
        <f t="shared" si="22"/>
        <v>0.901445114830673</v>
      </c>
      <c r="BQ5" s="63">
        <f>D5+AH5+(BK5+BL5+BM5+BN5+BO5+AI5)*UAE_Exch+(BP5)*KSA_Exch</f>
        <v>19.4907746204749</v>
      </c>
    </row>
    <row r="6" spans="1:69">
      <c r="A6" s="50"/>
      <c r="B6" s="50"/>
      <c r="C6" s="50"/>
      <c r="D6" s="51">
        <v>5</v>
      </c>
      <c r="E6" s="52">
        <v>800</v>
      </c>
      <c r="F6" s="52">
        <v>45</v>
      </c>
      <c r="G6" s="52">
        <v>2</v>
      </c>
      <c r="H6" s="52">
        <v>5</v>
      </c>
      <c r="I6" s="52">
        <v>5</v>
      </c>
      <c r="J6" s="52">
        <v>1</v>
      </c>
      <c r="K6" s="52">
        <v>0.01</v>
      </c>
      <c r="L6" s="52">
        <v>15</v>
      </c>
      <c r="M6" s="53">
        <v>0.05</v>
      </c>
      <c r="N6" s="53">
        <v>0.05</v>
      </c>
      <c r="O6" s="54">
        <f>L6*UAE_Exch-AO6</f>
        <v>11.22</v>
      </c>
      <c r="P6" s="55">
        <f>IF(L6&gt;0,O6/(L6*UAE_Exch),0)</f>
        <v>0.381632653061224</v>
      </c>
      <c r="Q6" s="54">
        <f>(L6+AR6)*UAE_Exch-AW6</f>
        <v>41.11</v>
      </c>
      <c r="R6" s="55">
        <f>IF(L6&gt;0,Q6/(L6*UAE_Exch),0)</f>
        <v>1.39829931972789</v>
      </c>
      <c r="S6" s="54">
        <f>(L6+AZ6)*UAE_Exch-BE6</f>
        <v>34.305</v>
      </c>
      <c r="T6" s="55">
        <f>IF(L6&gt;0,S6/(L6*UAE_Exch),0)</f>
        <v>1.16683673469388</v>
      </c>
      <c r="U6" s="54">
        <f>BF6*KSA_Exch-BQ6</f>
        <v>8.53569482288828</v>
      </c>
      <c r="V6" s="55">
        <f>IF(BF6&gt;0,U6/(BF6*KSA_Exch),0)</f>
        <v>0.304558333333333</v>
      </c>
      <c r="W6" s="56" t="str">
        <f t="shared" si="0"/>
        <v>海外仓FBP</v>
      </c>
      <c r="X6" s="54">
        <f t="shared" si="1"/>
        <v>41.11</v>
      </c>
      <c r="Y6" s="57">
        <f>GCC_DefaultDuty</f>
        <v>0.05</v>
      </c>
      <c r="Z6" s="58">
        <f t="shared" si="2"/>
        <v>0.005</v>
      </c>
      <c r="AA6" s="58">
        <f t="shared" si="3"/>
        <v>0.01</v>
      </c>
      <c r="AB6" s="58" t="str">
        <f t="shared" si="4"/>
        <v>Small Envelope</v>
      </c>
      <c r="AC6" s="58">
        <f>IFERROR(VLOOKUP(AB6,FBN_SizeTiers,5,FALSE),0)</f>
        <v>0.02</v>
      </c>
      <c r="AD6" s="58">
        <f>IFERROR(MIN(MAX(K6,Z6)+AC6,VLOOKUP(AB6,FBN_SizeTiers,6,FALSE)),0)</f>
        <v>0.03</v>
      </c>
      <c r="AE6" s="59">
        <f>L6/(1+UAE_VAT)*UAE_VAT</f>
        <v>0.714285714285714</v>
      </c>
      <c r="AF6" s="59">
        <f>IFERROR(IF(INDEX(Comm_Table,MATCH(C6,INDEX(Comm_Table,,1),0),2)="Fixed",L6*INDEX(Comm_Table,MATCH(C6,INDEX(Comm_Table,,1),0),3),IF(INDEX(Comm_Table,MATCH(C6,INDEX(Comm_Table,,1),0),2)="Threshold",IF(L6&lt;=INDEX(Comm_Table,MATCH(C6,INDEX(Comm_Table,,1),0),4),L6*INDEX(Comm_Table,MATCH(C6,INDEX(Comm_Table,,1),0),3),L6*INDEX(Comm_Table,MATCH(C6,INDEX(Comm_Table,,1),0),5)),MIN(L6,INDEX(Comm_Table,MATCH(C6,INDEX(Comm_Table,,1),0),4))*INDEX(Comm_Table,MATCH(C6,INDEX(Comm_Table,,1),0),3)+MAX(0,L6-INDEX(Comm_Table,MATCH(C6,INDEX(Comm_Table,,1),0),4))*INDEX(Comm_Table,MATCH(C6,INDEX(Comm_Table,,1),0),5))),0)</f>
        <v>0</v>
      </c>
      <c r="AG6" s="59">
        <f>IFERROR(IF(INDEX(Comm_Table,MATCH(C6,INDEX(Comm_Table,,1),0),6)="Fixed",L6*INDEX(Comm_Table,MATCH(C6,INDEX(Comm_Table,,1),0),7),IF(INDEX(Comm_Table,MATCH(C6,INDEX(Comm_Table,,1),0),6)="Threshold",IF(L6&lt;=INDEX(Comm_Table,MATCH(C6,INDEX(Comm_Table,,1),0),8),L6*INDEX(Comm_Table,MATCH(C6,INDEX(Comm_Table,,1),0),7),L6*INDEX(Comm_Table,MATCH(C6,INDEX(Comm_Table,,1),0),9)),MIN(L6,INDEX(Comm_Table,MATCH(C6,INDEX(Comm_Table,,1),0),8))*INDEX(Comm_Table,MATCH(C6,INDEX(Comm_Table,,1),0),7)+MAX(0,L6-INDEX(Comm_Table,MATCH(C6,INDEX(Comm_Table,,1),0),8))*INDEX(Comm_Table,MATCH(C6,INDEX(Comm_Table,,1),0),9))),0)</f>
        <v>0</v>
      </c>
      <c r="AH6" s="60">
        <f t="shared" si="5"/>
        <v>0.02</v>
      </c>
      <c r="AI6" s="60">
        <f t="shared" si="6"/>
        <v>5</v>
      </c>
      <c r="AJ6" s="60">
        <f>AF6*UAE_VAT</f>
        <v>0</v>
      </c>
      <c r="AK6" s="60">
        <f t="shared" si="7"/>
        <v>0.75</v>
      </c>
      <c r="AL6" s="60">
        <f t="shared" si="8"/>
        <v>0</v>
      </c>
      <c r="AM6" s="60">
        <f t="shared" si="9"/>
        <v>0</v>
      </c>
      <c r="AN6" s="60">
        <f>(AI6+UAE_Restock)*N6</f>
        <v>0.25</v>
      </c>
      <c r="AO6" s="60">
        <f>D6+AH6+(AE6+AF6+AJ6+AI6+AK6+AM6+AN6)*UAE_Exch</f>
        <v>18.18</v>
      </c>
      <c r="AP6" s="61">
        <f t="shared" si="10"/>
        <v>0.02</v>
      </c>
      <c r="AQ6" s="61">
        <f>IFERROR(INDEX(FBP_Fees,MATCH(AA6,INDEX(FBP_Fees,,1),1),IF(FBP_DeliveryMode="Drop-off",2,3)),0)</f>
        <v>0</v>
      </c>
      <c r="AR6" s="61">
        <f t="shared" si="11"/>
        <v>10</v>
      </c>
      <c r="AS6" s="61">
        <f>AG6*UAE_VAT</f>
        <v>0</v>
      </c>
      <c r="AT6" s="61">
        <f t="shared" si="12"/>
        <v>0.75</v>
      </c>
      <c r="AU6" s="61">
        <f t="shared" si="13"/>
        <v>0</v>
      </c>
      <c r="AV6" s="61">
        <f>(AQ6+UAE_Restock)*N6</f>
        <v>0</v>
      </c>
      <c r="AW6" s="61">
        <f>D6+AP6+(AE6+AG6+AS6+AQ6+AT6+AU6+AV6)*UAE_Exch</f>
        <v>7.89</v>
      </c>
      <c r="AX6" s="62">
        <f t="shared" si="14"/>
        <v>6.5</v>
      </c>
      <c r="AY6" s="62">
        <f>IFERROR(INDEX(FBP_Fees,MATCH(AA6,INDEX(FBP_Fees,,1),1),IF(FBP_DeliveryMode="Drop-off",2,3)),0)</f>
        <v>0</v>
      </c>
      <c r="AZ6" s="62">
        <f t="shared" si="15"/>
        <v>10</v>
      </c>
      <c r="BA6" s="62">
        <f>AG6*UAE_VAT</f>
        <v>0</v>
      </c>
      <c r="BB6" s="62">
        <f t="shared" si="16"/>
        <v>0.75</v>
      </c>
      <c r="BC6" s="62">
        <f t="shared" si="17"/>
        <v>0</v>
      </c>
      <c r="BD6" s="62">
        <f>(AX6/UAE_Exch+AY6+UAE_Restock)*N6</f>
        <v>0.165816326530612</v>
      </c>
      <c r="BE6" s="62">
        <f>D6+AX6+(AE6+AG6+BA6+AY6+BB6+BC6+BD6)*UAE_Exch</f>
        <v>14.695</v>
      </c>
      <c r="BF6" s="63">
        <f>(L6/1.05/USD_AED)*USD_SAR</f>
        <v>14.5971195017517</v>
      </c>
      <c r="BG6" s="63">
        <f t="shared" si="18"/>
        <v>0.729855975087583</v>
      </c>
      <c r="BH6" s="63">
        <f>MAX(KSA_ClearanceFeeMin,MIN(KSA_ClearanceFeeMax,BF6*KSA_ClearanceFeeRate))</f>
        <v>15</v>
      </c>
      <c r="BI6" s="63">
        <f>(BF6+BG6)*KSA_VAT</f>
        <v>2.29904632152589</v>
      </c>
      <c r="BJ6" s="63">
        <f>(BF6+BG6+BH6)*(1+KSA_VAT)</f>
        <v>34.8760217983651</v>
      </c>
      <c r="BK6" s="63">
        <f>L6*CrossBorderFeeRate</f>
        <v>0.75</v>
      </c>
      <c r="BL6" s="63">
        <f t="shared" si="19"/>
        <v>0</v>
      </c>
      <c r="BM6" s="63">
        <f>BL6*UAE_VAT</f>
        <v>0</v>
      </c>
      <c r="BN6" s="63">
        <f t="shared" si="20"/>
        <v>0.75</v>
      </c>
      <c r="BO6" s="63">
        <f t="shared" si="21"/>
        <v>0</v>
      </c>
      <c r="BP6" s="63">
        <f t="shared" si="22"/>
        <v>0.901445114830673</v>
      </c>
      <c r="BQ6" s="63">
        <f>D6+AH6+(BK6+BL6+BM6+BN6+BO6+AI6)*UAE_Exch+(BP6)*KSA_Exch</f>
        <v>19.4907746204749</v>
      </c>
    </row>
    <row r="7" spans="1:69">
      <c r="A7" s="50"/>
      <c r="B7" s="50"/>
      <c r="C7" s="50"/>
      <c r="D7" s="51">
        <v>5</v>
      </c>
      <c r="E7" s="52">
        <v>800</v>
      </c>
      <c r="F7" s="52">
        <v>45</v>
      </c>
      <c r="G7" s="52">
        <v>2</v>
      </c>
      <c r="H7" s="52">
        <v>5</v>
      </c>
      <c r="I7" s="52">
        <v>5</v>
      </c>
      <c r="J7" s="52">
        <v>1</v>
      </c>
      <c r="K7" s="52">
        <v>0.01</v>
      </c>
      <c r="L7" s="52">
        <v>15</v>
      </c>
      <c r="M7" s="53">
        <v>0.05</v>
      </c>
      <c r="N7" s="53">
        <v>0.05</v>
      </c>
      <c r="O7" s="54">
        <f>L7*UAE_Exch-AO7</f>
        <v>11.22</v>
      </c>
      <c r="P7" s="55">
        <f>IF(L7&gt;0,O7/(L7*UAE_Exch),0)</f>
        <v>0.381632653061224</v>
      </c>
      <c r="Q7" s="54">
        <f>(L7+AR7)*UAE_Exch-AW7</f>
        <v>41.11</v>
      </c>
      <c r="R7" s="55">
        <f>IF(L7&gt;0,Q7/(L7*UAE_Exch),0)</f>
        <v>1.39829931972789</v>
      </c>
      <c r="S7" s="54">
        <f>(L7+AZ7)*UAE_Exch-BE7</f>
        <v>34.305</v>
      </c>
      <c r="T7" s="55">
        <f>IF(L7&gt;0,S7/(L7*UAE_Exch),0)</f>
        <v>1.16683673469388</v>
      </c>
      <c r="U7" s="54">
        <f>BF7*KSA_Exch-BQ7</f>
        <v>8.53569482288828</v>
      </c>
      <c r="V7" s="55">
        <f>IF(BF7&gt;0,U7/(BF7*KSA_Exch),0)</f>
        <v>0.304558333333333</v>
      </c>
      <c r="W7" s="56" t="str">
        <f t="shared" si="0"/>
        <v>海外仓FBP</v>
      </c>
      <c r="X7" s="54">
        <f t="shared" si="1"/>
        <v>41.11</v>
      </c>
      <c r="Y7" s="57">
        <f>GCC_DefaultDuty</f>
        <v>0.05</v>
      </c>
      <c r="Z7" s="58">
        <f t="shared" si="2"/>
        <v>0.005</v>
      </c>
      <c r="AA7" s="58">
        <f t="shared" si="3"/>
        <v>0.01</v>
      </c>
      <c r="AB7" s="58" t="str">
        <f t="shared" si="4"/>
        <v>Small Envelope</v>
      </c>
      <c r="AC7" s="58">
        <f>IFERROR(VLOOKUP(AB7,FBN_SizeTiers,5,FALSE),0)</f>
        <v>0.02</v>
      </c>
      <c r="AD7" s="58">
        <f>IFERROR(MIN(MAX(K7,Z7)+AC7,VLOOKUP(AB7,FBN_SizeTiers,6,FALSE)),0)</f>
        <v>0.03</v>
      </c>
      <c r="AE7" s="59">
        <f>L7/(1+UAE_VAT)*UAE_VAT</f>
        <v>0.714285714285714</v>
      </c>
      <c r="AF7" s="59">
        <f>IFERROR(IF(INDEX(Comm_Table,MATCH(C7,INDEX(Comm_Table,,1),0),2)="Fixed",L7*INDEX(Comm_Table,MATCH(C7,INDEX(Comm_Table,,1),0),3),IF(INDEX(Comm_Table,MATCH(C7,INDEX(Comm_Table,,1),0),2)="Threshold",IF(L7&lt;=INDEX(Comm_Table,MATCH(C7,INDEX(Comm_Table,,1),0),4),L7*INDEX(Comm_Table,MATCH(C7,INDEX(Comm_Table,,1),0),3),L7*INDEX(Comm_Table,MATCH(C7,INDEX(Comm_Table,,1),0),5)),MIN(L7,INDEX(Comm_Table,MATCH(C7,INDEX(Comm_Table,,1),0),4))*INDEX(Comm_Table,MATCH(C7,INDEX(Comm_Table,,1),0),3)+MAX(0,L7-INDEX(Comm_Table,MATCH(C7,INDEX(Comm_Table,,1),0),4))*INDEX(Comm_Table,MATCH(C7,INDEX(Comm_Table,,1),0),5))),0)</f>
        <v>0</v>
      </c>
      <c r="AG7" s="59">
        <f>IFERROR(IF(INDEX(Comm_Table,MATCH(C7,INDEX(Comm_Table,,1),0),6)="Fixed",L7*INDEX(Comm_Table,MATCH(C7,INDEX(Comm_Table,,1),0),7),IF(INDEX(Comm_Table,MATCH(C7,INDEX(Comm_Table,,1),0),6)="Threshold",IF(L7&lt;=INDEX(Comm_Table,MATCH(C7,INDEX(Comm_Table,,1),0),8),L7*INDEX(Comm_Table,MATCH(C7,INDEX(Comm_Table,,1),0),7),L7*INDEX(Comm_Table,MATCH(C7,INDEX(Comm_Table,,1),0),9)),MIN(L7,INDEX(Comm_Table,MATCH(C7,INDEX(Comm_Table,,1),0),8))*INDEX(Comm_Table,MATCH(C7,INDEX(Comm_Table,,1),0),7)+MAX(0,L7-INDEX(Comm_Table,MATCH(C7,INDEX(Comm_Table,,1),0),8))*INDEX(Comm_Table,MATCH(C7,INDEX(Comm_Table,,1),0),9))),0)</f>
        <v>0</v>
      </c>
      <c r="AH7" s="60">
        <f t="shared" si="5"/>
        <v>0.02</v>
      </c>
      <c r="AI7" s="60">
        <f t="shared" si="6"/>
        <v>5</v>
      </c>
      <c r="AJ7" s="60">
        <f>AF7*UAE_VAT</f>
        <v>0</v>
      </c>
      <c r="AK7" s="60">
        <f t="shared" si="7"/>
        <v>0.75</v>
      </c>
      <c r="AL7" s="60">
        <f t="shared" si="8"/>
        <v>0</v>
      </c>
      <c r="AM7" s="60">
        <f t="shared" si="9"/>
        <v>0</v>
      </c>
      <c r="AN7" s="60">
        <f>(AI7+UAE_Restock)*N7</f>
        <v>0.25</v>
      </c>
      <c r="AO7" s="60">
        <f>D7+AH7+(AE7+AF7+AJ7+AI7+AK7+AM7+AN7)*UAE_Exch</f>
        <v>18.18</v>
      </c>
      <c r="AP7" s="61">
        <f t="shared" si="10"/>
        <v>0.02</v>
      </c>
      <c r="AQ7" s="61">
        <f>IFERROR(INDEX(FBP_Fees,MATCH(AA7,INDEX(FBP_Fees,,1),1),IF(FBP_DeliveryMode="Drop-off",2,3)),0)</f>
        <v>0</v>
      </c>
      <c r="AR7" s="61">
        <f t="shared" si="11"/>
        <v>10</v>
      </c>
      <c r="AS7" s="61">
        <f>AG7*UAE_VAT</f>
        <v>0</v>
      </c>
      <c r="AT7" s="61">
        <f t="shared" si="12"/>
        <v>0.75</v>
      </c>
      <c r="AU7" s="61">
        <f t="shared" si="13"/>
        <v>0</v>
      </c>
      <c r="AV7" s="61">
        <f>(AQ7+UAE_Restock)*N7</f>
        <v>0</v>
      </c>
      <c r="AW7" s="61">
        <f>D7+AP7+(AE7+AG7+AS7+AQ7+AT7+AU7+AV7)*UAE_Exch</f>
        <v>7.89</v>
      </c>
      <c r="AX7" s="62">
        <f t="shared" si="14"/>
        <v>6.5</v>
      </c>
      <c r="AY7" s="62">
        <f>IFERROR(INDEX(FBP_Fees,MATCH(AA7,INDEX(FBP_Fees,,1),1),IF(FBP_DeliveryMode="Drop-off",2,3)),0)</f>
        <v>0</v>
      </c>
      <c r="AZ7" s="62">
        <f t="shared" si="15"/>
        <v>10</v>
      </c>
      <c r="BA7" s="62">
        <f>AG7*UAE_VAT</f>
        <v>0</v>
      </c>
      <c r="BB7" s="62">
        <f t="shared" si="16"/>
        <v>0.75</v>
      </c>
      <c r="BC7" s="62">
        <f t="shared" si="17"/>
        <v>0</v>
      </c>
      <c r="BD7" s="62">
        <f>(AX7/UAE_Exch+AY7+UAE_Restock)*N7</f>
        <v>0.165816326530612</v>
      </c>
      <c r="BE7" s="62">
        <f>D7+AX7+(AE7+AG7+BA7+AY7+BB7+BC7+BD7)*UAE_Exch</f>
        <v>14.695</v>
      </c>
      <c r="BF7" s="63">
        <f>(L7/1.05/USD_AED)*USD_SAR</f>
        <v>14.5971195017517</v>
      </c>
      <c r="BG7" s="63">
        <f t="shared" si="18"/>
        <v>0.729855975087583</v>
      </c>
      <c r="BH7" s="63">
        <f>MAX(KSA_ClearanceFeeMin,MIN(KSA_ClearanceFeeMax,BF7*KSA_ClearanceFeeRate))</f>
        <v>15</v>
      </c>
      <c r="BI7" s="63">
        <f>(BF7+BG7)*KSA_VAT</f>
        <v>2.29904632152589</v>
      </c>
      <c r="BJ7" s="63">
        <f>(BF7+BG7+BH7)*(1+KSA_VAT)</f>
        <v>34.8760217983651</v>
      </c>
      <c r="BK7" s="63">
        <f>L7*CrossBorderFeeRate</f>
        <v>0.75</v>
      </c>
      <c r="BL7" s="63">
        <f t="shared" si="19"/>
        <v>0</v>
      </c>
      <c r="BM7" s="63">
        <f>BL7*UAE_VAT</f>
        <v>0</v>
      </c>
      <c r="BN7" s="63">
        <f t="shared" si="20"/>
        <v>0.75</v>
      </c>
      <c r="BO7" s="63">
        <f t="shared" si="21"/>
        <v>0</v>
      </c>
      <c r="BP7" s="63">
        <f t="shared" si="22"/>
        <v>0.901445114830673</v>
      </c>
      <c r="BQ7" s="63">
        <f>D7+AH7+(BK7+BL7+BM7+BN7+BO7+AI7)*UAE_Exch+(BP7)*KSA_Exch</f>
        <v>19.4907746204749</v>
      </c>
    </row>
    <row r="8" spans="1:69">
      <c r="A8" s="50"/>
      <c r="B8" s="50"/>
      <c r="C8" s="50"/>
      <c r="D8" s="51">
        <v>5</v>
      </c>
      <c r="E8" s="52">
        <v>800</v>
      </c>
      <c r="F8" s="52">
        <v>45</v>
      </c>
      <c r="G8" s="52">
        <v>2</v>
      </c>
      <c r="H8" s="52">
        <v>5</v>
      </c>
      <c r="I8" s="52">
        <v>5</v>
      </c>
      <c r="J8" s="52">
        <v>1</v>
      </c>
      <c r="K8" s="52">
        <v>0.01</v>
      </c>
      <c r="L8" s="52">
        <v>15</v>
      </c>
      <c r="M8" s="53">
        <v>0.05</v>
      </c>
      <c r="N8" s="53">
        <v>0.05</v>
      </c>
      <c r="O8" s="54">
        <f>L8*UAE_Exch-AO8</f>
        <v>11.22</v>
      </c>
      <c r="P8" s="55">
        <f>IF(L8&gt;0,O8/(L8*UAE_Exch),0)</f>
        <v>0.381632653061224</v>
      </c>
      <c r="Q8" s="54">
        <f>(L8+AR8)*UAE_Exch-AW8</f>
        <v>41.11</v>
      </c>
      <c r="R8" s="55">
        <f>IF(L8&gt;0,Q8/(L8*UAE_Exch),0)</f>
        <v>1.39829931972789</v>
      </c>
      <c r="S8" s="54">
        <f>(L8+AZ8)*UAE_Exch-BE8</f>
        <v>34.305</v>
      </c>
      <c r="T8" s="55">
        <f>IF(L8&gt;0,S8/(L8*UAE_Exch),0)</f>
        <v>1.16683673469388</v>
      </c>
      <c r="U8" s="54">
        <f>BF8*KSA_Exch-BQ8</f>
        <v>8.53569482288828</v>
      </c>
      <c r="V8" s="55">
        <f>IF(BF8&gt;0,U8/(BF8*KSA_Exch),0)</f>
        <v>0.304558333333333</v>
      </c>
      <c r="W8" s="56" t="str">
        <f t="shared" si="0"/>
        <v>海外仓FBP</v>
      </c>
      <c r="X8" s="54">
        <f t="shared" si="1"/>
        <v>41.11</v>
      </c>
      <c r="Y8" s="57">
        <f>GCC_DefaultDuty</f>
        <v>0.05</v>
      </c>
      <c r="Z8" s="58">
        <f t="shared" si="2"/>
        <v>0.005</v>
      </c>
      <c r="AA8" s="58">
        <f t="shared" si="3"/>
        <v>0.01</v>
      </c>
      <c r="AB8" s="58" t="str">
        <f t="shared" si="4"/>
        <v>Small Envelope</v>
      </c>
      <c r="AC8" s="58">
        <f>IFERROR(VLOOKUP(AB8,FBN_SizeTiers,5,FALSE),0)</f>
        <v>0.02</v>
      </c>
      <c r="AD8" s="58">
        <f>IFERROR(MIN(MAX(K8,Z8)+AC8,VLOOKUP(AB8,FBN_SizeTiers,6,FALSE)),0)</f>
        <v>0.03</v>
      </c>
      <c r="AE8" s="59">
        <f>L8/(1+UAE_VAT)*UAE_VAT</f>
        <v>0.714285714285714</v>
      </c>
      <c r="AF8" s="59">
        <f>IFERROR(IF(INDEX(Comm_Table,MATCH(C8,INDEX(Comm_Table,,1),0),2)="Fixed",L8*INDEX(Comm_Table,MATCH(C8,INDEX(Comm_Table,,1),0),3),IF(INDEX(Comm_Table,MATCH(C8,INDEX(Comm_Table,,1),0),2)="Threshold",IF(L8&lt;=INDEX(Comm_Table,MATCH(C8,INDEX(Comm_Table,,1),0),4),L8*INDEX(Comm_Table,MATCH(C8,INDEX(Comm_Table,,1),0),3),L8*INDEX(Comm_Table,MATCH(C8,INDEX(Comm_Table,,1),0),5)),MIN(L8,INDEX(Comm_Table,MATCH(C8,INDEX(Comm_Table,,1),0),4))*INDEX(Comm_Table,MATCH(C8,INDEX(Comm_Table,,1),0),3)+MAX(0,L8-INDEX(Comm_Table,MATCH(C8,INDEX(Comm_Table,,1),0),4))*INDEX(Comm_Table,MATCH(C8,INDEX(Comm_Table,,1),0),5))),0)</f>
        <v>0</v>
      </c>
      <c r="AG8" s="59">
        <f>IFERROR(IF(INDEX(Comm_Table,MATCH(C8,INDEX(Comm_Table,,1),0),6)="Fixed",L8*INDEX(Comm_Table,MATCH(C8,INDEX(Comm_Table,,1),0),7),IF(INDEX(Comm_Table,MATCH(C8,INDEX(Comm_Table,,1),0),6)="Threshold",IF(L8&lt;=INDEX(Comm_Table,MATCH(C8,INDEX(Comm_Table,,1),0),8),L8*INDEX(Comm_Table,MATCH(C8,INDEX(Comm_Table,,1),0),7),L8*INDEX(Comm_Table,MATCH(C8,INDEX(Comm_Table,,1),0),9)),MIN(L8,INDEX(Comm_Table,MATCH(C8,INDEX(Comm_Table,,1),0),8))*INDEX(Comm_Table,MATCH(C8,INDEX(Comm_Table,,1),0),7)+MAX(0,L8-INDEX(Comm_Table,MATCH(C8,INDEX(Comm_Table,,1),0),8))*INDEX(Comm_Table,MATCH(C8,INDEX(Comm_Table,,1),0),9))),0)</f>
        <v>0</v>
      </c>
      <c r="AH8" s="60">
        <f t="shared" si="5"/>
        <v>0.02</v>
      </c>
      <c r="AI8" s="60">
        <f t="shared" si="6"/>
        <v>5</v>
      </c>
      <c r="AJ8" s="60">
        <f>AF8*UAE_VAT</f>
        <v>0</v>
      </c>
      <c r="AK8" s="60">
        <f t="shared" si="7"/>
        <v>0.75</v>
      </c>
      <c r="AL8" s="60">
        <f t="shared" si="8"/>
        <v>0</v>
      </c>
      <c r="AM8" s="60">
        <f t="shared" si="9"/>
        <v>0</v>
      </c>
      <c r="AN8" s="60">
        <f>(AI8+UAE_Restock)*N8</f>
        <v>0.25</v>
      </c>
      <c r="AO8" s="60">
        <f>D8+AH8+(AE8+AF8+AJ8+AI8+AK8+AM8+AN8)*UAE_Exch</f>
        <v>18.18</v>
      </c>
      <c r="AP8" s="61">
        <f t="shared" si="10"/>
        <v>0.02</v>
      </c>
      <c r="AQ8" s="61">
        <f>IFERROR(INDEX(FBP_Fees,MATCH(AA8,INDEX(FBP_Fees,,1),1),IF(FBP_DeliveryMode="Drop-off",2,3)),0)</f>
        <v>0</v>
      </c>
      <c r="AR8" s="61">
        <f t="shared" si="11"/>
        <v>10</v>
      </c>
      <c r="AS8" s="61">
        <f>AG8*UAE_VAT</f>
        <v>0</v>
      </c>
      <c r="AT8" s="61">
        <f t="shared" si="12"/>
        <v>0.75</v>
      </c>
      <c r="AU8" s="61">
        <f t="shared" si="13"/>
        <v>0</v>
      </c>
      <c r="AV8" s="61">
        <f>(AQ8+UAE_Restock)*N8</f>
        <v>0</v>
      </c>
      <c r="AW8" s="61">
        <f>D8+AP8+(AE8+AG8+AS8+AQ8+AT8+AU8+AV8)*UAE_Exch</f>
        <v>7.89</v>
      </c>
      <c r="AX8" s="62">
        <f t="shared" si="14"/>
        <v>6.5</v>
      </c>
      <c r="AY8" s="62">
        <f>IFERROR(INDEX(FBP_Fees,MATCH(AA8,INDEX(FBP_Fees,,1),1),IF(FBP_DeliveryMode="Drop-off",2,3)),0)</f>
        <v>0</v>
      </c>
      <c r="AZ8" s="62">
        <f t="shared" si="15"/>
        <v>10</v>
      </c>
      <c r="BA8" s="62">
        <f>AG8*UAE_VAT</f>
        <v>0</v>
      </c>
      <c r="BB8" s="62">
        <f t="shared" si="16"/>
        <v>0.75</v>
      </c>
      <c r="BC8" s="62">
        <f t="shared" si="17"/>
        <v>0</v>
      </c>
      <c r="BD8" s="62">
        <f>(AX8/UAE_Exch+AY8+UAE_Restock)*N8</f>
        <v>0.165816326530612</v>
      </c>
      <c r="BE8" s="62">
        <f>D8+AX8+(AE8+AG8+BA8+AY8+BB8+BC8+BD8)*UAE_Exch</f>
        <v>14.695</v>
      </c>
      <c r="BF8" s="63">
        <f>(L8/1.05/USD_AED)*USD_SAR</f>
        <v>14.5971195017517</v>
      </c>
      <c r="BG8" s="63">
        <f t="shared" si="18"/>
        <v>0.729855975087583</v>
      </c>
      <c r="BH8" s="63">
        <f>MAX(KSA_ClearanceFeeMin,MIN(KSA_ClearanceFeeMax,BF8*KSA_ClearanceFeeRate))</f>
        <v>15</v>
      </c>
      <c r="BI8" s="63">
        <f>(BF8+BG8)*KSA_VAT</f>
        <v>2.29904632152589</v>
      </c>
      <c r="BJ8" s="63">
        <f>(BF8+BG8+BH8)*(1+KSA_VAT)</f>
        <v>34.8760217983651</v>
      </c>
      <c r="BK8" s="63">
        <f>L8*CrossBorderFeeRate</f>
        <v>0.75</v>
      </c>
      <c r="BL8" s="63">
        <f t="shared" si="19"/>
        <v>0</v>
      </c>
      <c r="BM8" s="63">
        <f>BL8*UAE_VAT</f>
        <v>0</v>
      </c>
      <c r="BN8" s="63">
        <f t="shared" si="20"/>
        <v>0.75</v>
      </c>
      <c r="BO8" s="63">
        <f t="shared" si="21"/>
        <v>0</v>
      </c>
      <c r="BP8" s="63">
        <f t="shared" si="22"/>
        <v>0.901445114830673</v>
      </c>
      <c r="BQ8" s="63">
        <f>D8+AH8+(BK8+BL8+BM8+BN8+BO8+AI8)*UAE_Exch+(BP8)*KSA_Exch</f>
        <v>19.4907746204749</v>
      </c>
    </row>
    <row r="9" spans="1:69">
      <c r="A9" s="50"/>
      <c r="B9" s="50"/>
      <c r="C9" s="50"/>
      <c r="D9" s="51">
        <v>5</v>
      </c>
      <c r="E9" s="52">
        <v>800</v>
      </c>
      <c r="F9" s="52">
        <v>45</v>
      </c>
      <c r="G9" s="52">
        <v>2</v>
      </c>
      <c r="H9" s="52">
        <v>5</v>
      </c>
      <c r="I9" s="52">
        <v>5</v>
      </c>
      <c r="J9" s="52">
        <v>1</v>
      </c>
      <c r="K9" s="52">
        <v>0.01</v>
      </c>
      <c r="L9" s="52">
        <v>15</v>
      </c>
      <c r="M9" s="53">
        <v>0.05</v>
      </c>
      <c r="N9" s="53">
        <v>0.05</v>
      </c>
      <c r="O9" s="54">
        <f>L9*UAE_Exch-AO9</f>
        <v>11.22</v>
      </c>
      <c r="P9" s="55">
        <f>IF(L9&gt;0,O9/(L9*UAE_Exch),0)</f>
        <v>0.381632653061224</v>
      </c>
      <c r="Q9" s="54">
        <f>(L9+AR9)*UAE_Exch-AW9</f>
        <v>41.11</v>
      </c>
      <c r="R9" s="55">
        <f>IF(L9&gt;0,Q9/(L9*UAE_Exch),0)</f>
        <v>1.39829931972789</v>
      </c>
      <c r="S9" s="54">
        <f>(L9+AZ9)*UAE_Exch-BE9</f>
        <v>34.305</v>
      </c>
      <c r="T9" s="55">
        <f>IF(L9&gt;0,S9/(L9*UAE_Exch),0)</f>
        <v>1.16683673469388</v>
      </c>
      <c r="U9" s="54">
        <f>BF9*KSA_Exch-BQ9</f>
        <v>8.53569482288828</v>
      </c>
      <c r="V9" s="55">
        <f>IF(BF9&gt;0,U9/(BF9*KSA_Exch),0)</f>
        <v>0.304558333333333</v>
      </c>
      <c r="W9" s="56" t="str">
        <f t="shared" si="0"/>
        <v>海外仓FBP</v>
      </c>
      <c r="X9" s="54">
        <f t="shared" si="1"/>
        <v>41.11</v>
      </c>
      <c r="Y9" s="57">
        <f>GCC_DefaultDuty</f>
        <v>0.05</v>
      </c>
      <c r="Z9" s="58">
        <f t="shared" si="2"/>
        <v>0.005</v>
      </c>
      <c r="AA9" s="58">
        <f t="shared" si="3"/>
        <v>0.01</v>
      </c>
      <c r="AB9" s="58" t="str">
        <f t="shared" si="4"/>
        <v>Small Envelope</v>
      </c>
      <c r="AC9" s="58">
        <f>IFERROR(VLOOKUP(AB9,FBN_SizeTiers,5,FALSE),0)</f>
        <v>0.02</v>
      </c>
      <c r="AD9" s="58">
        <f>IFERROR(MIN(MAX(K9,Z9)+AC9,VLOOKUP(AB9,FBN_SizeTiers,6,FALSE)),0)</f>
        <v>0.03</v>
      </c>
      <c r="AE9" s="59">
        <f>L9/(1+UAE_VAT)*UAE_VAT</f>
        <v>0.714285714285714</v>
      </c>
      <c r="AF9" s="59">
        <f>IFERROR(IF(INDEX(Comm_Table,MATCH(C9,INDEX(Comm_Table,,1),0),2)="Fixed",L9*INDEX(Comm_Table,MATCH(C9,INDEX(Comm_Table,,1),0),3),IF(INDEX(Comm_Table,MATCH(C9,INDEX(Comm_Table,,1),0),2)="Threshold",IF(L9&lt;=INDEX(Comm_Table,MATCH(C9,INDEX(Comm_Table,,1),0),4),L9*INDEX(Comm_Table,MATCH(C9,INDEX(Comm_Table,,1),0),3),L9*INDEX(Comm_Table,MATCH(C9,INDEX(Comm_Table,,1),0),5)),MIN(L9,INDEX(Comm_Table,MATCH(C9,INDEX(Comm_Table,,1),0),4))*INDEX(Comm_Table,MATCH(C9,INDEX(Comm_Table,,1),0),3)+MAX(0,L9-INDEX(Comm_Table,MATCH(C9,INDEX(Comm_Table,,1),0),4))*INDEX(Comm_Table,MATCH(C9,INDEX(Comm_Table,,1),0),5))),0)</f>
        <v>0</v>
      </c>
      <c r="AG9" s="59">
        <f>IFERROR(IF(INDEX(Comm_Table,MATCH(C9,INDEX(Comm_Table,,1),0),6)="Fixed",L9*INDEX(Comm_Table,MATCH(C9,INDEX(Comm_Table,,1),0),7),IF(INDEX(Comm_Table,MATCH(C9,INDEX(Comm_Table,,1),0),6)="Threshold",IF(L9&lt;=INDEX(Comm_Table,MATCH(C9,INDEX(Comm_Table,,1),0),8),L9*INDEX(Comm_Table,MATCH(C9,INDEX(Comm_Table,,1),0),7),L9*INDEX(Comm_Table,MATCH(C9,INDEX(Comm_Table,,1),0),9)),MIN(L9,INDEX(Comm_Table,MATCH(C9,INDEX(Comm_Table,,1),0),8))*INDEX(Comm_Table,MATCH(C9,INDEX(Comm_Table,,1),0),7)+MAX(0,L9-INDEX(Comm_Table,MATCH(C9,INDEX(Comm_Table,,1),0),8))*INDEX(Comm_Table,MATCH(C9,INDEX(Comm_Table,,1),0),9))),0)</f>
        <v>0</v>
      </c>
      <c r="AH9" s="60">
        <f t="shared" si="5"/>
        <v>0.02</v>
      </c>
      <c r="AI9" s="60">
        <f t="shared" si="6"/>
        <v>5</v>
      </c>
      <c r="AJ9" s="60">
        <f>AF9*UAE_VAT</f>
        <v>0</v>
      </c>
      <c r="AK9" s="60">
        <f t="shared" si="7"/>
        <v>0.75</v>
      </c>
      <c r="AL9" s="60">
        <f t="shared" si="8"/>
        <v>0</v>
      </c>
      <c r="AM9" s="60">
        <f t="shared" si="9"/>
        <v>0</v>
      </c>
      <c r="AN9" s="60">
        <f>(AI9+UAE_Restock)*N9</f>
        <v>0.25</v>
      </c>
      <c r="AO9" s="60">
        <f>D9+AH9+(AE9+AF9+AJ9+AI9+AK9+AM9+AN9)*UAE_Exch</f>
        <v>18.18</v>
      </c>
      <c r="AP9" s="61">
        <f t="shared" si="10"/>
        <v>0.02</v>
      </c>
      <c r="AQ9" s="61">
        <f>IFERROR(INDEX(FBP_Fees,MATCH(AA9,INDEX(FBP_Fees,,1),1),IF(FBP_DeliveryMode="Drop-off",2,3)),0)</f>
        <v>0</v>
      </c>
      <c r="AR9" s="61">
        <f t="shared" si="11"/>
        <v>10</v>
      </c>
      <c r="AS9" s="61">
        <f>AG9*UAE_VAT</f>
        <v>0</v>
      </c>
      <c r="AT9" s="61">
        <f t="shared" si="12"/>
        <v>0.75</v>
      </c>
      <c r="AU9" s="61">
        <f t="shared" si="13"/>
        <v>0</v>
      </c>
      <c r="AV9" s="61">
        <f>(AQ9+UAE_Restock)*N9</f>
        <v>0</v>
      </c>
      <c r="AW9" s="61">
        <f>D9+AP9+(AE9+AG9+AS9+AQ9+AT9+AU9+AV9)*UAE_Exch</f>
        <v>7.89</v>
      </c>
      <c r="AX9" s="62">
        <f t="shared" si="14"/>
        <v>6.5</v>
      </c>
      <c r="AY9" s="62">
        <f>IFERROR(INDEX(FBP_Fees,MATCH(AA9,INDEX(FBP_Fees,,1),1),IF(FBP_DeliveryMode="Drop-off",2,3)),0)</f>
        <v>0</v>
      </c>
      <c r="AZ9" s="62">
        <f t="shared" si="15"/>
        <v>10</v>
      </c>
      <c r="BA9" s="62">
        <f>AG9*UAE_VAT</f>
        <v>0</v>
      </c>
      <c r="BB9" s="62">
        <f t="shared" si="16"/>
        <v>0.75</v>
      </c>
      <c r="BC9" s="62">
        <f t="shared" si="17"/>
        <v>0</v>
      </c>
      <c r="BD9" s="62">
        <f>(AX9/UAE_Exch+AY9+UAE_Restock)*N9</f>
        <v>0.165816326530612</v>
      </c>
      <c r="BE9" s="62">
        <f>D9+AX9+(AE9+AG9+BA9+AY9+BB9+BC9+BD9)*UAE_Exch</f>
        <v>14.695</v>
      </c>
      <c r="BF9" s="63">
        <f>(L9/1.05/USD_AED)*USD_SAR</f>
        <v>14.5971195017517</v>
      </c>
      <c r="BG9" s="63">
        <f t="shared" si="18"/>
        <v>0.729855975087583</v>
      </c>
      <c r="BH9" s="63">
        <f>MAX(KSA_ClearanceFeeMin,MIN(KSA_ClearanceFeeMax,BF9*KSA_ClearanceFeeRate))</f>
        <v>15</v>
      </c>
      <c r="BI9" s="63">
        <f>(BF9+BG9)*KSA_VAT</f>
        <v>2.29904632152589</v>
      </c>
      <c r="BJ9" s="63">
        <f>(BF9+BG9+BH9)*(1+KSA_VAT)</f>
        <v>34.8760217983651</v>
      </c>
      <c r="BK9" s="63">
        <f>L9*CrossBorderFeeRate</f>
        <v>0.75</v>
      </c>
      <c r="BL9" s="63">
        <f t="shared" si="19"/>
        <v>0</v>
      </c>
      <c r="BM9" s="63">
        <f>BL9*UAE_VAT</f>
        <v>0</v>
      </c>
      <c r="BN9" s="63">
        <f t="shared" si="20"/>
        <v>0.75</v>
      </c>
      <c r="BO9" s="63">
        <f t="shared" si="21"/>
        <v>0</v>
      </c>
      <c r="BP9" s="63">
        <f t="shared" si="22"/>
        <v>0.901445114830673</v>
      </c>
      <c r="BQ9" s="63">
        <f>D9+AH9+(BK9+BL9+BM9+BN9+BO9+AI9)*UAE_Exch+(BP9)*KSA_Exch</f>
        <v>19.4907746204749</v>
      </c>
    </row>
    <row r="10" spans="1:69">
      <c r="A10" s="50"/>
      <c r="B10" s="50"/>
      <c r="C10" s="50"/>
      <c r="D10" s="51">
        <v>5</v>
      </c>
      <c r="E10" s="52">
        <v>800</v>
      </c>
      <c r="F10" s="52">
        <v>45</v>
      </c>
      <c r="G10" s="52">
        <v>2</v>
      </c>
      <c r="H10" s="52">
        <v>5</v>
      </c>
      <c r="I10" s="52">
        <v>5</v>
      </c>
      <c r="J10" s="52">
        <v>1</v>
      </c>
      <c r="K10" s="52">
        <v>0.01</v>
      </c>
      <c r="L10" s="52">
        <v>15</v>
      </c>
      <c r="M10" s="53">
        <v>0.05</v>
      </c>
      <c r="N10" s="53">
        <v>0.05</v>
      </c>
      <c r="O10" s="54">
        <f>L10*UAE_Exch-AO10</f>
        <v>11.22</v>
      </c>
      <c r="P10" s="55">
        <f>IF(L10&gt;0,O10/(L10*UAE_Exch),0)</f>
        <v>0.381632653061224</v>
      </c>
      <c r="Q10" s="54">
        <f>(L10+AR10)*UAE_Exch-AW10</f>
        <v>41.11</v>
      </c>
      <c r="R10" s="55">
        <f>IF(L10&gt;0,Q10/(L10*UAE_Exch),0)</f>
        <v>1.39829931972789</v>
      </c>
      <c r="S10" s="54">
        <f>(L10+AZ10)*UAE_Exch-BE10</f>
        <v>34.305</v>
      </c>
      <c r="T10" s="55">
        <f>IF(L10&gt;0,S10/(L10*UAE_Exch),0)</f>
        <v>1.16683673469388</v>
      </c>
      <c r="U10" s="54">
        <f>BF10*KSA_Exch-BQ10</f>
        <v>8.53569482288828</v>
      </c>
      <c r="V10" s="55">
        <f>IF(BF10&gt;0,U10/(BF10*KSA_Exch),0)</f>
        <v>0.304558333333333</v>
      </c>
      <c r="W10" s="56" t="str">
        <f t="shared" si="0"/>
        <v>海外仓FBP</v>
      </c>
      <c r="X10" s="54">
        <f t="shared" si="1"/>
        <v>41.11</v>
      </c>
      <c r="Y10" s="57">
        <f>GCC_DefaultDuty</f>
        <v>0.05</v>
      </c>
      <c r="Z10" s="58">
        <f t="shared" si="2"/>
        <v>0.005</v>
      </c>
      <c r="AA10" s="58">
        <f t="shared" si="3"/>
        <v>0.01</v>
      </c>
      <c r="AB10" s="58" t="str">
        <f t="shared" si="4"/>
        <v>Small Envelope</v>
      </c>
      <c r="AC10" s="58">
        <f>IFERROR(VLOOKUP(AB10,FBN_SizeTiers,5,FALSE),0)</f>
        <v>0.02</v>
      </c>
      <c r="AD10" s="58">
        <f>IFERROR(MIN(MAX(K10,Z10)+AC10,VLOOKUP(AB10,FBN_SizeTiers,6,FALSE)),0)</f>
        <v>0.03</v>
      </c>
      <c r="AE10" s="59">
        <f>L10/(1+UAE_VAT)*UAE_VAT</f>
        <v>0.714285714285714</v>
      </c>
      <c r="AF10" s="59">
        <f>IFERROR(IF(INDEX(Comm_Table,MATCH(C10,INDEX(Comm_Table,,1),0),2)="Fixed",L10*INDEX(Comm_Table,MATCH(C10,INDEX(Comm_Table,,1),0),3),IF(INDEX(Comm_Table,MATCH(C10,INDEX(Comm_Table,,1),0),2)="Threshold",IF(L10&lt;=INDEX(Comm_Table,MATCH(C10,INDEX(Comm_Table,,1),0),4),L10*INDEX(Comm_Table,MATCH(C10,INDEX(Comm_Table,,1),0),3),L10*INDEX(Comm_Table,MATCH(C10,INDEX(Comm_Table,,1),0),5)),MIN(L10,INDEX(Comm_Table,MATCH(C10,INDEX(Comm_Table,,1),0),4))*INDEX(Comm_Table,MATCH(C10,INDEX(Comm_Table,,1),0),3)+MAX(0,L10-INDEX(Comm_Table,MATCH(C10,INDEX(Comm_Table,,1),0),4))*INDEX(Comm_Table,MATCH(C10,INDEX(Comm_Table,,1),0),5))),0)</f>
        <v>0</v>
      </c>
      <c r="AG10" s="59">
        <f>IFERROR(IF(INDEX(Comm_Table,MATCH(C10,INDEX(Comm_Table,,1),0),6)="Fixed",L10*INDEX(Comm_Table,MATCH(C10,INDEX(Comm_Table,,1),0),7),IF(INDEX(Comm_Table,MATCH(C10,INDEX(Comm_Table,,1),0),6)="Threshold",IF(L10&lt;=INDEX(Comm_Table,MATCH(C10,INDEX(Comm_Table,,1),0),8),L10*INDEX(Comm_Table,MATCH(C10,INDEX(Comm_Table,,1),0),7),L10*INDEX(Comm_Table,MATCH(C10,INDEX(Comm_Table,,1),0),9)),MIN(L10,INDEX(Comm_Table,MATCH(C10,INDEX(Comm_Table,,1),0),8))*INDEX(Comm_Table,MATCH(C10,INDEX(Comm_Table,,1),0),7)+MAX(0,L10-INDEX(Comm_Table,MATCH(C10,INDEX(Comm_Table,,1),0),8))*INDEX(Comm_Table,MATCH(C10,INDEX(Comm_Table,,1),0),9))),0)</f>
        <v>0</v>
      </c>
      <c r="AH10" s="60">
        <f t="shared" si="5"/>
        <v>0.02</v>
      </c>
      <c r="AI10" s="60">
        <f t="shared" si="6"/>
        <v>5</v>
      </c>
      <c r="AJ10" s="60">
        <f>AF10*UAE_VAT</f>
        <v>0</v>
      </c>
      <c r="AK10" s="60">
        <f t="shared" si="7"/>
        <v>0.75</v>
      </c>
      <c r="AL10" s="60">
        <f t="shared" si="8"/>
        <v>0</v>
      </c>
      <c r="AM10" s="60">
        <f t="shared" si="9"/>
        <v>0</v>
      </c>
      <c r="AN10" s="60">
        <f>(AI10+UAE_Restock)*N10</f>
        <v>0.25</v>
      </c>
      <c r="AO10" s="60">
        <f>D10+AH10+(AE10+AF10+AJ10+AI10+AK10+AM10+AN10)*UAE_Exch</f>
        <v>18.18</v>
      </c>
      <c r="AP10" s="61">
        <f t="shared" si="10"/>
        <v>0.02</v>
      </c>
      <c r="AQ10" s="61">
        <f>IFERROR(INDEX(FBP_Fees,MATCH(AA10,INDEX(FBP_Fees,,1),1),IF(FBP_DeliveryMode="Drop-off",2,3)),0)</f>
        <v>0</v>
      </c>
      <c r="AR10" s="61">
        <f t="shared" si="11"/>
        <v>10</v>
      </c>
      <c r="AS10" s="61">
        <f>AG10*UAE_VAT</f>
        <v>0</v>
      </c>
      <c r="AT10" s="61">
        <f t="shared" si="12"/>
        <v>0.75</v>
      </c>
      <c r="AU10" s="61">
        <f t="shared" si="13"/>
        <v>0</v>
      </c>
      <c r="AV10" s="61">
        <f>(AQ10+UAE_Restock)*N10</f>
        <v>0</v>
      </c>
      <c r="AW10" s="61">
        <f>D10+AP10+(AE10+AG10+AS10+AQ10+AT10+AU10+AV10)*UAE_Exch</f>
        <v>7.89</v>
      </c>
      <c r="AX10" s="62">
        <f t="shared" si="14"/>
        <v>6.5</v>
      </c>
      <c r="AY10" s="62">
        <f>IFERROR(INDEX(FBP_Fees,MATCH(AA10,INDEX(FBP_Fees,,1),1),IF(FBP_DeliveryMode="Drop-off",2,3)),0)</f>
        <v>0</v>
      </c>
      <c r="AZ10" s="62">
        <f t="shared" si="15"/>
        <v>10</v>
      </c>
      <c r="BA10" s="62">
        <f>AG10*UAE_VAT</f>
        <v>0</v>
      </c>
      <c r="BB10" s="62">
        <f t="shared" si="16"/>
        <v>0.75</v>
      </c>
      <c r="BC10" s="62">
        <f t="shared" si="17"/>
        <v>0</v>
      </c>
      <c r="BD10" s="62">
        <f>(AX10/UAE_Exch+AY10+UAE_Restock)*N10</f>
        <v>0.165816326530612</v>
      </c>
      <c r="BE10" s="62">
        <f>D10+AX10+(AE10+AG10+BA10+AY10+BB10+BC10+BD10)*UAE_Exch</f>
        <v>14.695</v>
      </c>
      <c r="BF10" s="63">
        <f>(L10/1.05/USD_AED)*USD_SAR</f>
        <v>14.5971195017517</v>
      </c>
      <c r="BG10" s="63">
        <f t="shared" si="18"/>
        <v>0.729855975087583</v>
      </c>
      <c r="BH10" s="63">
        <f>MAX(KSA_ClearanceFeeMin,MIN(KSA_ClearanceFeeMax,BF10*KSA_ClearanceFeeRate))</f>
        <v>15</v>
      </c>
      <c r="BI10" s="63">
        <f>(BF10+BG10)*KSA_VAT</f>
        <v>2.29904632152589</v>
      </c>
      <c r="BJ10" s="63">
        <f>(BF10+BG10+BH10)*(1+KSA_VAT)</f>
        <v>34.8760217983651</v>
      </c>
      <c r="BK10" s="63">
        <f>L10*CrossBorderFeeRate</f>
        <v>0.75</v>
      </c>
      <c r="BL10" s="63">
        <f t="shared" si="19"/>
        <v>0</v>
      </c>
      <c r="BM10" s="63">
        <f>BL10*UAE_VAT</f>
        <v>0</v>
      </c>
      <c r="BN10" s="63">
        <f t="shared" si="20"/>
        <v>0.75</v>
      </c>
      <c r="BO10" s="63">
        <f t="shared" si="21"/>
        <v>0</v>
      </c>
      <c r="BP10" s="63">
        <f t="shared" si="22"/>
        <v>0.901445114830673</v>
      </c>
      <c r="BQ10" s="63">
        <f>D10+AH10+(BK10+BL10+BM10+BN10+BO10+AI10)*UAE_Exch+(BP10)*KSA_Exch</f>
        <v>19.4907746204749</v>
      </c>
    </row>
    <row r="11" spans="1:69">
      <c r="A11" s="50"/>
      <c r="B11" s="50"/>
      <c r="C11" s="50"/>
      <c r="D11" s="51">
        <v>5</v>
      </c>
      <c r="E11" s="52">
        <v>800</v>
      </c>
      <c r="F11" s="52">
        <v>45</v>
      </c>
      <c r="G11" s="52">
        <v>2</v>
      </c>
      <c r="H11" s="52">
        <v>5</v>
      </c>
      <c r="I11" s="52">
        <v>5</v>
      </c>
      <c r="J11" s="52">
        <v>1</v>
      </c>
      <c r="K11" s="52">
        <v>0.01</v>
      </c>
      <c r="L11" s="52">
        <v>15</v>
      </c>
      <c r="M11" s="53">
        <v>0.05</v>
      </c>
      <c r="N11" s="53">
        <v>0.05</v>
      </c>
      <c r="O11" s="54">
        <f>L11*UAE_Exch-AO11</f>
        <v>11.22</v>
      </c>
      <c r="P11" s="55">
        <f>IF(L11&gt;0,O11/(L11*UAE_Exch),0)</f>
        <v>0.381632653061224</v>
      </c>
      <c r="Q11" s="54">
        <f>(L11+AR11)*UAE_Exch-AW11</f>
        <v>41.11</v>
      </c>
      <c r="R11" s="55">
        <f>IF(L11&gt;0,Q11/(L11*UAE_Exch),0)</f>
        <v>1.39829931972789</v>
      </c>
      <c r="S11" s="54">
        <f>(L11+AZ11)*UAE_Exch-BE11</f>
        <v>34.305</v>
      </c>
      <c r="T11" s="55">
        <f>IF(L11&gt;0,S11/(L11*UAE_Exch),0)</f>
        <v>1.16683673469388</v>
      </c>
      <c r="U11" s="54">
        <f>BF11*KSA_Exch-BQ11</f>
        <v>8.53569482288828</v>
      </c>
      <c r="V11" s="55">
        <f>IF(BF11&gt;0,U11/(BF11*KSA_Exch),0)</f>
        <v>0.304558333333333</v>
      </c>
      <c r="W11" s="56" t="str">
        <f t="shared" si="0"/>
        <v>海外仓FBP</v>
      </c>
      <c r="X11" s="54">
        <f t="shared" si="1"/>
        <v>41.11</v>
      </c>
      <c r="Y11" s="57">
        <f>GCC_DefaultDuty</f>
        <v>0.05</v>
      </c>
      <c r="Z11" s="58">
        <f t="shared" si="2"/>
        <v>0.005</v>
      </c>
      <c r="AA11" s="58">
        <f t="shared" si="3"/>
        <v>0.01</v>
      </c>
      <c r="AB11" s="58" t="str">
        <f t="shared" si="4"/>
        <v>Small Envelope</v>
      </c>
      <c r="AC11" s="58">
        <f>IFERROR(VLOOKUP(AB11,FBN_SizeTiers,5,FALSE),0)</f>
        <v>0.02</v>
      </c>
      <c r="AD11" s="58">
        <f>IFERROR(MIN(MAX(K11,Z11)+AC11,VLOOKUP(AB11,FBN_SizeTiers,6,FALSE)),0)</f>
        <v>0.03</v>
      </c>
      <c r="AE11" s="59">
        <f>L11/(1+UAE_VAT)*UAE_VAT</f>
        <v>0.714285714285714</v>
      </c>
      <c r="AF11" s="59">
        <f>IFERROR(IF(INDEX(Comm_Table,MATCH(C11,INDEX(Comm_Table,,1),0),2)="Fixed",L11*INDEX(Comm_Table,MATCH(C11,INDEX(Comm_Table,,1),0),3),IF(INDEX(Comm_Table,MATCH(C11,INDEX(Comm_Table,,1),0),2)="Threshold",IF(L11&lt;=INDEX(Comm_Table,MATCH(C11,INDEX(Comm_Table,,1),0),4),L11*INDEX(Comm_Table,MATCH(C11,INDEX(Comm_Table,,1),0),3),L11*INDEX(Comm_Table,MATCH(C11,INDEX(Comm_Table,,1),0),5)),MIN(L11,INDEX(Comm_Table,MATCH(C11,INDEX(Comm_Table,,1),0),4))*INDEX(Comm_Table,MATCH(C11,INDEX(Comm_Table,,1),0),3)+MAX(0,L11-INDEX(Comm_Table,MATCH(C11,INDEX(Comm_Table,,1),0),4))*INDEX(Comm_Table,MATCH(C11,INDEX(Comm_Table,,1),0),5))),0)</f>
        <v>0</v>
      </c>
      <c r="AG11" s="59">
        <f>IFERROR(IF(INDEX(Comm_Table,MATCH(C11,INDEX(Comm_Table,,1),0),6)="Fixed",L11*INDEX(Comm_Table,MATCH(C11,INDEX(Comm_Table,,1),0),7),IF(INDEX(Comm_Table,MATCH(C11,INDEX(Comm_Table,,1),0),6)="Threshold",IF(L11&lt;=INDEX(Comm_Table,MATCH(C11,INDEX(Comm_Table,,1),0),8),L11*INDEX(Comm_Table,MATCH(C11,INDEX(Comm_Table,,1),0),7),L11*INDEX(Comm_Table,MATCH(C11,INDEX(Comm_Table,,1),0),9)),MIN(L11,INDEX(Comm_Table,MATCH(C11,INDEX(Comm_Table,,1),0),8))*INDEX(Comm_Table,MATCH(C11,INDEX(Comm_Table,,1),0),7)+MAX(0,L11-INDEX(Comm_Table,MATCH(C11,INDEX(Comm_Table,,1),0),8))*INDEX(Comm_Table,MATCH(C11,INDEX(Comm_Table,,1),0),9))),0)</f>
        <v>0</v>
      </c>
      <c r="AH11" s="60">
        <f t="shared" si="5"/>
        <v>0.02</v>
      </c>
      <c r="AI11" s="60">
        <f t="shared" si="6"/>
        <v>5</v>
      </c>
      <c r="AJ11" s="60">
        <f>AF11*UAE_VAT</f>
        <v>0</v>
      </c>
      <c r="AK11" s="60">
        <f t="shared" si="7"/>
        <v>0.75</v>
      </c>
      <c r="AL11" s="60">
        <f t="shared" si="8"/>
        <v>0</v>
      </c>
      <c r="AM11" s="60">
        <f t="shared" si="9"/>
        <v>0</v>
      </c>
      <c r="AN11" s="60">
        <f>(AI11+UAE_Restock)*N11</f>
        <v>0.25</v>
      </c>
      <c r="AO11" s="60">
        <f>D11+AH11+(AE11+AF11+AJ11+AI11+AK11+AM11+AN11)*UAE_Exch</f>
        <v>18.18</v>
      </c>
      <c r="AP11" s="61">
        <f t="shared" si="10"/>
        <v>0.02</v>
      </c>
      <c r="AQ11" s="61">
        <f>IFERROR(INDEX(FBP_Fees,MATCH(AA11,INDEX(FBP_Fees,,1),1),IF(FBP_DeliveryMode="Drop-off",2,3)),0)</f>
        <v>0</v>
      </c>
      <c r="AR11" s="61">
        <f t="shared" si="11"/>
        <v>10</v>
      </c>
      <c r="AS11" s="61">
        <f>AG11*UAE_VAT</f>
        <v>0</v>
      </c>
      <c r="AT11" s="61">
        <f t="shared" si="12"/>
        <v>0.75</v>
      </c>
      <c r="AU11" s="61">
        <f t="shared" si="13"/>
        <v>0</v>
      </c>
      <c r="AV11" s="61">
        <f>(AQ11+UAE_Restock)*N11</f>
        <v>0</v>
      </c>
      <c r="AW11" s="61">
        <f>D11+AP11+(AE11+AG11+AS11+AQ11+AT11+AU11+AV11)*UAE_Exch</f>
        <v>7.89</v>
      </c>
      <c r="AX11" s="62">
        <f t="shared" si="14"/>
        <v>6.5</v>
      </c>
      <c r="AY11" s="62">
        <f>IFERROR(INDEX(FBP_Fees,MATCH(AA11,INDEX(FBP_Fees,,1),1),IF(FBP_DeliveryMode="Drop-off",2,3)),0)</f>
        <v>0</v>
      </c>
      <c r="AZ11" s="62">
        <f t="shared" si="15"/>
        <v>10</v>
      </c>
      <c r="BA11" s="62">
        <f>AG11*UAE_VAT</f>
        <v>0</v>
      </c>
      <c r="BB11" s="62">
        <f t="shared" si="16"/>
        <v>0.75</v>
      </c>
      <c r="BC11" s="62">
        <f t="shared" si="17"/>
        <v>0</v>
      </c>
      <c r="BD11" s="62">
        <f>(AX11/UAE_Exch+AY11+UAE_Restock)*N11</f>
        <v>0.165816326530612</v>
      </c>
      <c r="BE11" s="62">
        <f>D11+AX11+(AE11+AG11+BA11+AY11+BB11+BC11+BD11)*UAE_Exch</f>
        <v>14.695</v>
      </c>
      <c r="BF11" s="63">
        <f>(L11/1.05/USD_AED)*USD_SAR</f>
        <v>14.5971195017517</v>
      </c>
      <c r="BG11" s="63">
        <f t="shared" si="18"/>
        <v>0.729855975087583</v>
      </c>
      <c r="BH11" s="63">
        <f>MAX(KSA_ClearanceFeeMin,MIN(KSA_ClearanceFeeMax,BF11*KSA_ClearanceFeeRate))</f>
        <v>15</v>
      </c>
      <c r="BI11" s="63">
        <f>(BF11+BG11)*KSA_VAT</f>
        <v>2.29904632152589</v>
      </c>
      <c r="BJ11" s="63">
        <f>(BF11+BG11+BH11)*(1+KSA_VAT)</f>
        <v>34.8760217983651</v>
      </c>
      <c r="BK11" s="63">
        <f>L11*CrossBorderFeeRate</f>
        <v>0.75</v>
      </c>
      <c r="BL11" s="63">
        <f t="shared" si="19"/>
        <v>0</v>
      </c>
      <c r="BM11" s="63">
        <f>BL11*UAE_VAT</f>
        <v>0</v>
      </c>
      <c r="BN11" s="63">
        <f t="shared" si="20"/>
        <v>0.75</v>
      </c>
      <c r="BO11" s="63">
        <f t="shared" si="21"/>
        <v>0</v>
      </c>
      <c r="BP11" s="63">
        <f t="shared" si="22"/>
        <v>0.901445114830673</v>
      </c>
      <c r="BQ11" s="63">
        <f>D11+AH11+(BK11+BL11+BM11+BN11+BO11+AI11)*UAE_Exch+(BP11)*KSA_Exch</f>
        <v>19.4907746204749</v>
      </c>
    </row>
    <row r="12" spans="1:69">
      <c r="A12" s="50"/>
      <c r="B12" s="50"/>
      <c r="C12" s="50"/>
      <c r="D12" s="51">
        <v>5</v>
      </c>
      <c r="E12" s="52">
        <v>800</v>
      </c>
      <c r="F12" s="52">
        <v>45</v>
      </c>
      <c r="G12" s="52">
        <v>2</v>
      </c>
      <c r="H12" s="52">
        <v>5</v>
      </c>
      <c r="I12" s="52">
        <v>5</v>
      </c>
      <c r="J12" s="52">
        <v>1</v>
      </c>
      <c r="K12" s="52">
        <v>0.01</v>
      </c>
      <c r="L12" s="52">
        <v>15</v>
      </c>
      <c r="M12" s="53">
        <v>0.05</v>
      </c>
      <c r="N12" s="53">
        <v>0.05</v>
      </c>
      <c r="O12" s="54">
        <f>L12*UAE_Exch-AO12</f>
        <v>11.22</v>
      </c>
      <c r="P12" s="55">
        <f>IF(L12&gt;0,O12/(L12*UAE_Exch),0)</f>
        <v>0.381632653061224</v>
      </c>
      <c r="Q12" s="54">
        <f>(L12+AR12)*UAE_Exch-AW12</f>
        <v>41.11</v>
      </c>
      <c r="R12" s="55">
        <f>IF(L12&gt;0,Q12/(L12*UAE_Exch),0)</f>
        <v>1.39829931972789</v>
      </c>
      <c r="S12" s="54">
        <f>(L12+AZ12)*UAE_Exch-BE12</f>
        <v>34.305</v>
      </c>
      <c r="T12" s="55">
        <f>IF(L12&gt;0,S12/(L12*UAE_Exch),0)</f>
        <v>1.16683673469388</v>
      </c>
      <c r="U12" s="54">
        <f>BF12*KSA_Exch-BQ12</f>
        <v>8.53569482288828</v>
      </c>
      <c r="V12" s="55">
        <f>IF(BF12&gt;0,U12/(BF12*KSA_Exch),0)</f>
        <v>0.304558333333333</v>
      </c>
      <c r="W12" s="56" t="str">
        <f t="shared" si="0"/>
        <v>海外仓FBP</v>
      </c>
      <c r="X12" s="54">
        <f t="shared" si="1"/>
        <v>41.11</v>
      </c>
      <c r="Y12" s="57">
        <f>GCC_DefaultDuty</f>
        <v>0.05</v>
      </c>
      <c r="Z12" s="58">
        <f t="shared" si="2"/>
        <v>0.005</v>
      </c>
      <c r="AA12" s="58">
        <f t="shared" si="3"/>
        <v>0.01</v>
      </c>
      <c r="AB12" s="58" t="str">
        <f t="shared" si="4"/>
        <v>Small Envelope</v>
      </c>
      <c r="AC12" s="58">
        <f>IFERROR(VLOOKUP(AB12,FBN_SizeTiers,5,FALSE),0)</f>
        <v>0.02</v>
      </c>
      <c r="AD12" s="58">
        <f>IFERROR(MIN(MAX(K12,Z12)+AC12,VLOOKUP(AB12,FBN_SizeTiers,6,FALSE)),0)</f>
        <v>0.03</v>
      </c>
      <c r="AE12" s="59">
        <f>L12/(1+UAE_VAT)*UAE_VAT</f>
        <v>0.714285714285714</v>
      </c>
      <c r="AF12" s="59">
        <f>IFERROR(IF(INDEX(Comm_Table,MATCH(C12,INDEX(Comm_Table,,1),0),2)="Fixed",L12*INDEX(Comm_Table,MATCH(C12,INDEX(Comm_Table,,1),0),3),IF(INDEX(Comm_Table,MATCH(C12,INDEX(Comm_Table,,1),0),2)="Threshold",IF(L12&lt;=INDEX(Comm_Table,MATCH(C12,INDEX(Comm_Table,,1),0),4),L12*INDEX(Comm_Table,MATCH(C12,INDEX(Comm_Table,,1),0),3),L12*INDEX(Comm_Table,MATCH(C12,INDEX(Comm_Table,,1),0),5)),MIN(L12,INDEX(Comm_Table,MATCH(C12,INDEX(Comm_Table,,1),0),4))*INDEX(Comm_Table,MATCH(C12,INDEX(Comm_Table,,1),0),3)+MAX(0,L12-INDEX(Comm_Table,MATCH(C12,INDEX(Comm_Table,,1),0),4))*INDEX(Comm_Table,MATCH(C12,INDEX(Comm_Table,,1),0),5))),0)</f>
        <v>0</v>
      </c>
      <c r="AG12" s="59">
        <f>IFERROR(IF(INDEX(Comm_Table,MATCH(C12,INDEX(Comm_Table,,1),0),6)="Fixed",L12*INDEX(Comm_Table,MATCH(C12,INDEX(Comm_Table,,1),0),7),IF(INDEX(Comm_Table,MATCH(C12,INDEX(Comm_Table,,1),0),6)="Threshold",IF(L12&lt;=INDEX(Comm_Table,MATCH(C12,INDEX(Comm_Table,,1),0),8),L12*INDEX(Comm_Table,MATCH(C12,INDEX(Comm_Table,,1),0),7),L12*INDEX(Comm_Table,MATCH(C12,INDEX(Comm_Table,,1),0),9)),MIN(L12,INDEX(Comm_Table,MATCH(C12,INDEX(Comm_Table,,1),0),8))*INDEX(Comm_Table,MATCH(C12,INDEX(Comm_Table,,1),0),7)+MAX(0,L12-INDEX(Comm_Table,MATCH(C12,INDEX(Comm_Table,,1),0),8))*INDEX(Comm_Table,MATCH(C12,INDEX(Comm_Table,,1),0),9))),0)</f>
        <v>0</v>
      </c>
      <c r="AH12" s="60">
        <f t="shared" si="5"/>
        <v>0.02</v>
      </c>
      <c r="AI12" s="60">
        <f t="shared" si="6"/>
        <v>5</v>
      </c>
      <c r="AJ12" s="60">
        <f>AF12*UAE_VAT</f>
        <v>0</v>
      </c>
      <c r="AK12" s="60">
        <f t="shared" si="7"/>
        <v>0.75</v>
      </c>
      <c r="AL12" s="60">
        <f t="shared" si="8"/>
        <v>0</v>
      </c>
      <c r="AM12" s="60">
        <f t="shared" si="9"/>
        <v>0</v>
      </c>
      <c r="AN12" s="60">
        <f>(AI12+UAE_Restock)*N12</f>
        <v>0.25</v>
      </c>
      <c r="AO12" s="60">
        <f>D12+AH12+(AE12+AF12+AJ12+AI12+AK12+AM12+AN12)*UAE_Exch</f>
        <v>18.18</v>
      </c>
      <c r="AP12" s="61">
        <f t="shared" si="10"/>
        <v>0.02</v>
      </c>
      <c r="AQ12" s="61">
        <f>IFERROR(INDEX(FBP_Fees,MATCH(AA12,INDEX(FBP_Fees,,1),1),IF(FBP_DeliveryMode="Drop-off",2,3)),0)</f>
        <v>0</v>
      </c>
      <c r="AR12" s="61">
        <f t="shared" si="11"/>
        <v>10</v>
      </c>
      <c r="AS12" s="61">
        <f>AG12*UAE_VAT</f>
        <v>0</v>
      </c>
      <c r="AT12" s="61">
        <f t="shared" si="12"/>
        <v>0.75</v>
      </c>
      <c r="AU12" s="61">
        <f t="shared" si="13"/>
        <v>0</v>
      </c>
      <c r="AV12" s="61">
        <f>(AQ12+UAE_Restock)*N12</f>
        <v>0</v>
      </c>
      <c r="AW12" s="61">
        <f>D12+AP12+(AE12+AG12+AS12+AQ12+AT12+AU12+AV12)*UAE_Exch</f>
        <v>7.89</v>
      </c>
      <c r="AX12" s="62">
        <f t="shared" si="14"/>
        <v>6.5</v>
      </c>
      <c r="AY12" s="62">
        <f>IFERROR(INDEX(FBP_Fees,MATCH(AA12,INDEX(FBP_Fees,,1),1),IF(FBP_DeliveryMode="Drop-off",2,3)),0)</f>
        <v>0</v>
      </c>
      <c r="AZ12" s="62">
        <f t="shared" si="15"/>
        <v>10</v>
      </c>
      <c r="BA12" s="62">
        <f>AG12*UAE_VAT</f>
        <v>0</v>
      </c>
      <c r="BB12" s="62">
        <f t="shared" si="16"/>
        <v>0.75</v>
      </c>
      <c r="BC12" s="62">
        <f t="shared" si="17"/>
        <v>0</v>
      </c>
      <c r="BD12" s="62">
        <f>(AX12/UAE_Exch+AY12+UAE_Restock)*N12</f>
        <v>0.165816326530612</v>
      </c>
      <c r="BE12" s="62">
        <f>D12+AX12+(AE12+AG12+BA12+AY12+BB12+BC12+BD12)*UAE_Exch</f>
        <v>14.695</v>
      </c>
      <c r="BF12" s="63">
        <f>(L12/1.05/USD_AED)*USD_SAR</f>
        <v>14.5971195017517</v>
      </c>
      <c r="BG12" s="63">
        <f t="shared" si="18"/>
        <v>0.729855975087583</v>
      </c>
      <c r="BH12" s="63">
        <f>MAX(KSA_ClearanceFeeMin,MIN(KSA_ClearanceFeeMax,BF12*KSA_ClearanceFeeRate))</f>
        <v>15</v>
      </c>
      <c r="BI12" s="63">
        <f>(BF12+BG12)*KSA_VAT</f>
        <v>2.29904632152589</v>
      </c>
      <c r="BJ12" s="63">
        <f>(BF12+BG12+BH12)*(1+KSA_VAT)</f>
        <v>34.8760217983651</v>
      </c>
      <c r="BK12" s="63">
        <f>L12*CrossBorderFeeRate</f>
        <v>0.75</v>
      </c>
      <c r="BL12" s="63">
        <f t="shared" si="19"/>
        <v>0</v>
      </c>
      <c r="BM12" s="63">
        <f>BL12*UAE_VAT</f>
        <v>0</v>
      </c>
      <c r="BN12" s="63">
        <f t="shared" si="20"/>
        <v>0.75</v>
      </c>
      <c r="BO12" s="63">
        <f t="shared" si="21"/>
        <v>0</v>
      </c>
      <c r="BP12" s="63">
        <f t="shared" si="22"/>
        <v>0.901445114830673</v>
      </c>
      <c r="BQ12" s="63">
        <f>D12+AH12+(BK12+BL12+BM12+BN12+BO12+AI12)*UAE_Exch+(BP12)*KSA_Exch</f>
        <v>19.4907746204749</v>
      </c>
    </row>
    <row r="13" spans="1:69">
      <c r="A13" s="50"/>
      <c r="B13" s="50"/>
      <c r="C13" s="50"/>
      <c r="D13" s="51">
        <v>5</v>
      </c>
      <c r="E13" s="52">
        <v>800</v>
      </c>
      <c r="F13" s="52">
        <v>45</v>
      </c>
      <c r="G13" s="52">
        <v>2</v>
      </c>
      <c r="H13" s="52">
        <v>5</v>
      </c>
      <c r="I13" s="52">
        <v>5</v>
      </c>
      <c r="J13" s="52">
        <v>1</v>
      </c>
      <c r="K13" s="52">
        <v>0.01</v>
      </c>
      <c r="L13" s="52">
        <v>15</v>
      </c>
      <c r="M13" s="53">
        <v>0.05</v>
      </c>
      <c r="N13" s="53">
        <v>0.05</v>
      </c>
      <c r="O13" s="54">
        <f>L13*UAE_Exch-AO13</f>
        <v>11.22</v>
      </c>
      <c r="P13" s="55">
        <f>IF(L13&gt;0,O13/(L13*UAE_Exch),0)</f>
        <v>0.381632653061224</v>
      </c>
      <c r="Q13" s="54">
        <f>(L13+AR13)*UAE_Exch-AW13</f>
        <v>41.11</v>
      </c>
      <c r="R13" s="55">
        <f>IF(L13&gt;0,Q13/(L13*UAE_Exch),0)</f>
        <v>1.39829931972789</v>
      </c>
      <c r="S13" s="54">
        <f>(L13+AZ13)*UAE_Exch-BE13</f>
        <v>34.305</v>
      </c>
      <c r="T13" s="55">
        <f>IF(L13&gt;0,S13/(L13*UAE_Exch),0)</f>
        <v>1.16683673469388</v>
      </c>
      <c r="U13" s="54">
        <f>BF13*KSA_Exch-BQ13</f>
        <v>8.53569482288828</v>
      </c>
      <c r="V13" s="55">
        <f>IF(BF13&gt;0,U13/(BF13*KSA_Exch),0)</f>
        <v>0.304558333333333</v>
      </c>
      <c r="W13" s="56" t="str">
        <f t="shared" si="0"/>
        <v>海外仓FBP</v>
      </c>
      <c r="X13" s="54">
        <f t="shared" si="1"/>
        <v>41.11</v>
      </c>
      <c r="Y13" s="57">
        <f>GCC_DefaultDuty</f>
        <v>0.05</v>
      </c>
      <c r="Z13" s="58">
        <f t="shared" si="2"/>
        <v>0.005</v>
      </c>
      <c r="AA13" s="58">
        <f t="shared" si="3"/>
        <v>0.01</v>
      </c>
      <c r="AB13" s="58" t="str">
        <f t="shared" si="4"/>
        <v>Small Envelope</v>
      </c>
      <c r="AC13" s="58">
        <f>IFERROR(VLOOKUP(AB13,FBN_SizeTiers,5,FALSE),0)</f>
        <v>0.02</v>
      </c>
      <c r="AD13" s="58">
        <f>IFERROR(MIN(MAX(K13,Z13)+AC13,VLOOKUP(AB13,FBN_SizeTiers,6,FALSE)),0)</f>
        <v>0.03</v>
      </c>
      <c r="AE13" s="59">
        <f>L13/(1+UAE_VAT)*UAE_VAT</f>
        <v>0.714285714285714</v>
      </c>
      <c r="AF13" s="59">
        <f>IFERROR(IF(INDEX(Comm_Table,MATCH(C13,INDEX(Comm_Table,,1),0),2)="Fixed",L13*INDEX(Comm_Table,MATCH(C13,INDEX(Comm_Table,,1),0),3),IF(INDEX(Comm_Table,MATCH(C13,INDEX(Comm_Table,,1),0),2)="Threshold",IF(L13&lt;=INDEX(Comm_Table,MATCH(C13,INDEX(Comm_Table,,1),0),4),L13*INDEX(Comm_Table,MATCH(C13,INDEX(Comm_Table,,1),0),3),L13*INDEX(Comm_Table,MATCH(C13,INDEX(Comm_Table,,1),0),5)),MIN(L13,INDEX(Comm_Table,MATCH(C13,INDEX(Comm_Table,,1),0),4))*INDEX(Comm_Table,MATCH(C13,INDEX(Comm_Table,,1),0),3)+MAX(0,L13-INDEX(Comm_Table,MATCH(C13,INDEX(Comm_Table,,1),0),4))*INDEX(Comm_Table,MATCH(C13,INDEX(Comm_Table,,1),0),5))),0)</f>
        <v>0</v>
      </c>
      <c r="AG13" s="59">
        <f>IFERROR(IF(INDEX(Comm_Table,MATCH(C13,INDEX(Comm_Table,,1),0),6)="Fixed",L13*INDEX(Comm_Table,MATCH(C13,INDEX(Comm_Table,,1),0),7),IF(INDEX(Comm_Table,MATCH(C13,INDEX(Comm_Table,,1),0),6)="Threshold",IF(L13&lt;=INDEX(Comm_Table,MATCH(C13,INDEX(Comm_Table,,1),0),8),L13*INDEX(Comm_Table,MATCH(C13,INDEX(Comm_Table,,1),0),7),L13*INDEX(Comm_Table,MATCH(C13,INDEX(Comm_Table,,1),0),9)),MIN(L13,INDEX(Comm_Table,MATCH(C13,INDEX(Comm_Table,,1),0),8))*INDEX(Comm_Table,MATCH(C13,INDEX(Comm_Table,,1),0),7)+MAX(0,L13-INDEX(Comm_Table,MATCH(C13,INDEX(Comm_Table,,1),0),8))*INDEX(Comm_Table,MATCH(C13,INDEX(Comm_Table,,1),0),9))),0)</f>
        <v>0</v>
      </c>
      <c r="AH13" s="60">
        <f t="shared" si="5"/>
        <v>0.02</v>
      </c>
      <c r="AI13" s="60">
        <f t="shared" si="6"/>
        <v>5</v>
      </c>
      <c r="AJ13" s="60">
        <f>AF13*UAE_VAT</f>
        <v>0</v>
      </c>
      <c r="AK13" s="60">
        <f t="shared" si="7"/>
        <v>0.75</v>
      </c>
      <c r="AL13" s="60">
        <f t="shared" si="8"/>
        <v>0</v>
      </c>
      <c r="AM13" s="60">
        <f t="shared" si="9"/>
        <v>0</v>
      </c>
      <c r="AN13" s="60">
        <f>(AI13+UAE_Restock)*N13</f>
        <v>0.25</v>
      </c>
      <c r="AO13" s="60">
        <f>D13+AH13+(AE13+AF13+AJ13+AI13+AK13+AM13+AN13)*UAE_Exch</f>
        <v>18.18</v>
      </c>
      <c r="AP13" s="61">
        <f t="shared" si="10"/>
        <v>0.02</v>
      </c>
      <c r="AQ13" s="61">
        <f>IFERROR(INDEX(FBP_Fees,MATCH(AA13,INDEX(FBP_Fees,,1),1),IF(FBP_DeliveryMode="Drop-off",2,3)),0)</f>
        <v>0</v>
      </c>
      <c r="AR13" s="61">
        <f t="shared" si="11"/>
        <v>10</v>
      </c>
      <c r="AS13" s="61">
        <f>AG13*UAE_VAT</f>
        <v>0</v>
      </c>
      <c r="AT13" s="61">
        <f t="shared" si="12"/>
        <v>0.75</v>
      </c>
      <c r="AU13" s="61">
        <f t="shared" si="13"/>
        <v>0</v>
      </c>
      <c r="AV13" s="61">
        <f>(AQ13+UAE_Restock)*N13</f>
        <v>0</v>
      </c>
      <c r="AW13" s="61">
        <f>D13+AP13+(AE13+AG13+AS13+AQ13+AT13+AU13+AV13)*UAE_Exch</f>
        <v>7.89</v>
      </c>
      <c r="AX13" s="62">
        <f t="shared" si="14"/>
        <v>6.5</v>
      </c>
      <c r="AY13" s="62">
        <f>IFERROR(INDEX(FBP_Fees,MATCH(AA13,INDEX(FBP_Fees,,1),1),IF(FBP_DeliveryMode="Drop-off",2,3)),0)</f>
        <v>0</v>
      </c>
      <c r="AZ13" s="62">
        <f t="shared" si="15"/>
        <v>10</v>
      </c>
      <c r="BA13" s="62">
        <f>AG13*UAE_VAT</f>
        <v>0</v>
      </c>
      <c r="BB13" s="62">
        <f t="shared" si="16"/>
        <v>0.75</v>
      </c>
      <c r="BC13" s="62">
        <f t="shared" si="17"/>
        <v>0</v>
      </c>
      <c r="BD13" s="62">
        <f>(AX13/UAE_Exch+AY13+UAE_Restock)*N13</f>
        <v>0.165816326530612</v>
      </c>
      <c r="BE13" s="62">
        <f>D13+AX13+(AE13+AG13+BA13+AY13+BB13+BC13+BD13)*UAE_Exch</f>
        <v>14.695</v>
      </c>
      <c r="BF13" s="63">
        <f>(L13/1.05/USD_AED)*USD_SAR</f>
        <v>14.5971195017517</v>
      </c>
      <c r="BG13" s="63">
        <f t="shared" si="18"/>
        <v>0.729855975087583</v>
      </c>
      <c r="BH13" s="63">
        <f>MAX(KSA_ClearanceFeeMin,MIN(KSA_ClearanceFeeMax,BF13*KSA_ClearanceFeeRate))</f>
        <v>15</v>
      </c>
      <c r="BI13" s="63">
        <f>(BF13+BG13)*KSA_VAT</f>
        <v>2.29904632152589</v>
      </c>
      <c r="BJ13" s="63">
        <f>(BF13+BG13+BH13)*(1+KSA_VAT)</f>
        <v>34.8760217983651</v>
      </c>
      <c r="BK13" s="63">
        <f>L13*CrossBorderFeeRate</f>
        <v>0.75</v>
      </c>
      <c r="BL13" s="63">
        <f t="shared" si="19"/>
        <v>0</v>
      </c>
      <c r="BM13" s="63">
        <f>BL13*UAE_VAT</f>
        <v>0</v>
      </c>
      <c r="BN13" s="63">
        <f t="shared" si="20"/>
        <v>0.75</v>
      </c>
      <c r="BO13" s="63">
        <f t="shared" si="21"/>
        <v>0</v>
      </c>
      <c r="BP13" s="63">
        <f t="shared" si="22"/>
        <v>0.901445114830673</v>
      </c>
      <c r="BQ13" s="63">
        <f>D13+AH13+(BK13+BL13+BM13+BN13+BO13+AI13)*UAE_Exch+(BP13)*KSA_Exch</f>
        <v>19.4907746204749</v>
      </c>
    </row>
    <row r="14" spans="1:69">
      <c r="A14" s="50"/>
      <c r="B14" s="50"/>
      <c r="C14" s="50"/>
      <c r="D14" s="51">
        <v>5</v>
      </c>
      <c r="E14" s="52">
        <v>800</v>
      </c>
      <c r="F14" s="52">
        <v>45</v>
      </c>
      <c r="G14" s="52">
        <v>2</v>
      </c>
      <c r="H14" s="52">
        <v>5</v>
      </c>
      <c r="I14" s="52">
        <v>5</v>
      </c>
      <c r="J14" s="52">
        <v>1</v>
      </c>
      <c r="K14" s="52">
        <v>0.01</v>
      </c>
      <c r="L14" s="52">
        <v>15</v>
      </c>
      <c r="M14" s="53">
        <v>0.05</v>
      </c>
      <c r="N14" s="53">
        <v>0.05</v>
      </c>
      <c r="O14" s="54">
        <f>L14*UAE_Exch-AO14</f>
        <v>11.22</v>
      </c>
      <c r="P14" s="55">
        <f>IF(L14&gt;0,O14/(L14*UAE_Exch),0)</f>
        <v>0.381632653061224</v>
      </c>
      <c r="Q14" s="54">
        <f>(L14+AR14)*UAE_Exch-AW14</f>
        <v>41.11</v>
      </c>
      <c r="R14" s="55">
        <f>IF(L14&gt;0,Q14/(L14*UAE_Exch),0)</f>
        <v>1.39829931972789</v>
      </c>
      <c r="S14" s="54">
        <f>(L14+AZ14)*UAE_Exch-BE14</f>
        <v>34.305</v>
      </c>
      <c r="T14" s="55">
        <f>IF(L14&gt;0,S14/(L14*UAE_Exch),0)</f>
        <v>1.16683673469388</v>
      </c>
      <c r="U14" s="54">
        <f>BF14*KSA_Exch-BQ14</f>
        <v>8.53569482288828</v>
      </c>
      <c r="V14" s="55">
        <f>IF(BF14&gt;0,U14/(BF14*KSA_Exch),0)</f>
        <v>0.304558333333333</v>
      </c>
      <c r="W14" s="56" t="str">
        <f t="shared" si="0"/>
        <v>海外仓FBP</v>
      </c>
      <c r="X14" s="54">
        <f t="shared" si="1"/>
        <v>41.11</v>
      </c>
      <c r="Y14" s="57">
        <f>GCC_DefaultDuty</f>
        <v>0.05</v>
      </c>
      <c r="Z14" s="58">
        <f t="shared" si="2"/>
        <v>0.005</v>
      </c>
      <c r="AA14" s="58">
        <f t="shared" si="3"/>
        <v>0.01</v>
      </c>
      <c r="AB14" s="58" t="str">
        <f t="shared" si="4"/>
        <v>Small Envelope</v>
      </c>
      <c r="AC14" s="58">
        <f>IFERROR(VLOOKUP(AB14,FBN_SizeTiers,5,FALSE),0)</f>
        <v>0.02</v>
      </c>
      <c r="AD14" s="58">
        <f>IFERROR(MIN(MAX(K14,Z14)+AC14,VLOOKUP(AB14,FBN_SizeTiers,6,FALSE)),0)</f>
        <v>0.03</v>
      </c>
      <c r="AE14" s="59">
        <f>L14/(1+UAE_VAT)*UAE_VAT</f>
        <v>0.714285714285714</v>
      </c>
      <c r="AF14" s="59">
        <f>IFERROR(IF(INDEX(Comm_Table,MATCH(C14,INDEX(Comm_Table,,1),0),2)="Fixed",L14*INDEX(Comm_Table,MATCH(C14,INDEX(Comm_Table,,1),0),3),IF(INDEX(Comm_Table,MATCH(C14,INDEX(Comm_Table,,1),0),2)="Threshold",IF(L14&lt;=INDEX(Comm_Table,MATCH(C14,INDEX(Comm_Table,,1),0),4),L14*INDEX(Comm_Table,MATCH(C14,INDEX(Comm_Table,,1),0),3),L14*INDEX(Comm_Table,MATCH(C14,INDEX(Comm_Table,,1),0),5)),MIN(L14,INDEX(Comm_Table,MATCH(C14,INDEX(Comm_Table,,1),0),4))*INDEX(Comm_Table,MATCH(C14,INDEX(Comm_Table,,1),0),3)+MAX(0,L14-INDEX(Comm_Table,MATCH(C14,INDEX(Comm_Table,,1),0),4))*INDEX(Comm_Table,MATCH(C14,INDEX(Comm_Table,,1),0),5))),0)</f>
        <v>0</v>
      </c>
      <c r="AG14" s="59">
        <f>IFERROR(IF(INDEX(Comm_Table,MATCH(C14,INDEX(Comm_Table,,1),0),6)="Fixed",L14*INDEX(Comm_Table,MATCH(C14,INDEX(Comm_Table,,1),0),7),IF(INDEX(Comm_Table,MATCH(C14,INDEX(Comm_Table,,1),0),6)="Threshold",IF(L14&lt;=INDEX(Comm_Table,MATCH(C14,INDEX(Comm_Table,,1),0),8),L14*INDEX(Comm_Table,MATCH(C14,INDEX(Comm_Table,,1),0),7),L14*INDEX(Comm_Table,MATCH(C14,INDEX(Comm_Table,,1),0),9)),MIN(L14,INDEX(Comm_Table,MATCH(C14,INDEX(Comm_Table,,1),0),8))*INDEX(Comm_Table,MATCH(C14,INDEX(Comm_Table,,1),0),7)+MAX(0,L14-INDEX(Comm_Table,MATCH(C14,INDEX(Comm_Table,,1),0),8))*INDEX(Comm_Table,MATCH(C14,INDEX(Comm_Table,,1),0),9))),0)</f>
        <v>0</v>
      </c>
      <c r="AH14" s="60">
        <f t="shared" si="5"/>
        <v>0.02</v>
      </c>
      <c r="AI14" s="60">
        <f t="shared" si="6"/>
        <v>5</v>
      </c>
      <c r="AJ14" s="60">
        <f>AF14*UAE_VAT</f>
        <v>0</v>
      </c>
      <c r="AK14" s="60">
        <f t="shared" si="7"/>
        <v>0.75</v>
      </c>
      <c r="AL14" s="60">
        <f t="shared" si="8"/>
        <v>0</v>
      </c>
      <c r="AM14" s="60">
        <f t="shared" si="9"/>
        <v>0</v>
      </c>
      <c r="AN14" s="60">
        <f>(AI14+UAE_Restock)*N14</f>
        <v>0.25</v>
      </c>
      <c r="AO14" s="60">
        <f>D14+AH14+(AE14+AF14+AJ14+AI14+AK14+AM14+AN14)*UAE_Exch</f>
        <v>18.18</v>
      </c>
      <c r="AP14" s="61">
        <f t="shared" si="10"/>
        <v>0.02</v>
      </c>
      <c r="AQ14" s="61">
        <f>IFERROR(INDEX(FBP_Fees,MATCH(AA14,INDEX(FBP_Fees,,1),1),IF(FBP_DeliveryMode="Drop-off",2,3)),0)</f>
        <v>0</v>
      </c>
      <c r="AR14" s="61">
        <f t="shared" si="11"/>
        <v>10</v>
      </c>
      <c r="AS14" s="61">
        <f>AG14*UAE_VAT</f>
        <v>0</v>
      </c>
      <c r="AT14" s="61">
        <f t="shared" si="12"/>
        <v>0.75</v>
      </c>
      <c r="AU14" s="61">
        <f t="shared" si="13"/>
        <v>0</v>
      </c>
      <c r="AV14" s="61">
        <f>(AQ14+UAE_Restock)*N14</f>
        <v>0</v>
      </c>
      <c r="AW14" s="61">
        <f>D14+AP14+(AE14+AG14+AS14+AQ14+AT14+AU14+AV14)*UAE_Exch</f>
        <v>7.89</v>
      </c>
      <c r="AX14" s="62">
        <f t="shared" si="14"/>
        <v>6.5</v>
      </c>
      <c r="AY14" s="62">
        <f>IFERROR(INDEX(FBP_Fees,MATCH(AA14,INDEX(FBP_Fees,,1),1),IF(FBP_DeliveryMode="Drop-off",2,3)),0)</f>
        <v>0</v>
      </c>
      <c r="AZ14" s="62">
        <f t="shared" si="15"/>
        <v>10</v>
      </c>
      <c r="BA14" s="62">
        <f>AG14*UAE_VAT</f>
        <v>0</v>
      </c>
      <c r="BB14" s="62">
        <f t="shared" si="16"/>
        <v>0.75</v>
      </c>
      <c r="BC14" s="62">
        <f t="shared" si="17"/>
        <v>0</v>
      </c>
      <c r="BD14" s="62">
        <f>(AX14/UAE_Exch+AY14+UAE_Restock)*N14</f>
        <v>0.165816326530612</v>
      </c>
      <c r="BE14" s="62">
        <f>D14+AX14+(AE14+AG14+BA14+AY14+BB14+BC14+BD14)*UAE_Exch</f>
        <v>14.695</v>
      </c>
      <c r="BF14" s="63">
        <f>(L14/1.05/USD_AED)*USD_SAR</f>
        <v>14.5971195017517</v>
      </c>
      <c r="BG14" s="63">
        <f t="shared" si="18"/>
        <v>0.729855975087583</v>
      </c>
      <c r="BH14" s="63">
        <f>MAX(KSA_ClearanceFeeMin,MIN(KSA_ClearanceFeeMax,BF14*KSA_ClearanceFeeRate))</f>
        <v>15</v>
      </c>
      <c r="BI14" s="63">
        <f>(BF14+BG14)*KSA_VAT</f>
        <v>2.29904632152589</v>
      </c>
      <c r="BJ14" s="63">
        <f>(BF14+BG14+BH14)*(1+KSA_VAT)</f>
        <v>34.8760217983651</v>
      </c>
      <c r="BK14" s="63">
        <f>L14*CrossBorderFeeRate</f>
        <v>0.75</v>
      </c>
      <c r="BL14" s="63">
        <f t="shared" si="19"/>
        <v>0</v>
      </c>
      <c r="BM14" s="63">
        <f>BL14*UAE_VAT</f>
        <v>0</v>
      </c>
      <c r="BN14" s="63">
        <f t="shared" si="20"/>
        <v>0.75</v>
      </c>
      <c r="BO14" s="63">
        <f t="shared" si="21"/>
        <v>0</v>
      </c>
      <c r="BP14" s="63">
        <f t="shared" si="22"/>
        <v>0.901445114830673</v>
      </c>
      <c r="BQ14" s="63">
        <f>D14+AH14+(BK14+BL14+BM14+BN14+BO14+AI14)*UAE_Exch+(BP14)*KSA_Exch</f>
        <v>19.4907746204749</v>
      </c>
    </row>
    <row r="15" spans="1:69">
      <c r="A15" s="50"/>
      <c r="B15" s="50"/>
      <c r="C15" s="50"/>
      <c r="D15" s="51">
        <v>5</v>
      </c>
      <c r="E15" s="52">
        <v>800</v>
      </c>
      <c r="F15" s="52">
        <v>45</v>
      </c>
      <c r="G15" s="52">
        <v>2</v>
      </c>
      <c r="H15" s="52">
        <v>5</v>
      </c>
      <c r="I15" s="52">
        <v>5</v>
      </c>
      <c r="J15" s="52">
        <v>1</v>
      </c>
      <c r="K15" s="52">
        <v>0.01</v>
      </c>
      <c r="L15" s="52">
        <v>15</v>
      </c>
      <c r="M15" s="53">
        <v>0.05</v>
      </c>
      <c r="N15" s="53">
        <v>0.05</v>
      </c>
      <c r="O15" s="54">
        <f>L15*UAE_Exch-AO15</f>
        <v>11.22</v>
      </c>
      <c r="P15" s="55">
        <f>IF(L15&gt;0,O15/(L15*UAE_Exch),0)</f>
        <v>0.381632653061224</v>
      </c>
      <c r="Q15" s="54">
        <f>(L15+AR15)*UAE_Exch-AW15</f>
        <v>41.11</v>
      </c>
      <c r="R15" s="55">
        <f>IF(L15&gt;0,Q15/(L15*UAE_Exch),0)</f>
        <v>1.39829931972789</v>
      </c>
      <c r="S15" s="54">
        <f>(L15+AZ15)*UAE_Exch-BE15</f>
        <v>34.305</v>
      </c>
      <c r="T15" s="55">
        <f>IF(L15&gt;0,S15/(L15*UAE_Exch),0)</f>
        <v>1.16683673469388</v>
      </c>
      <c r="U15" s="54">
        <f>BF15*KSA_Exch-BQ15</f>
        <v>8.53569482288828</v>
      </c>
      <c r="V15" s="55">
        <f>IF(BF15&gt;0,U15/(BF15*KSA_Exch),0)</f>
        <v>0.304558333333333</v>
      </c>
      <c r="W15" s="56" t="str">
        <f t="shared" si="0"/>
        <v>海外仓FBP</v>
      </c>
      <c r="X15" s="54">
        <f t="shared" si="1"/>
        <v>41.11</v>
      </c>
      <c r="Y15" s="57">
        <f>GCC_DefaultDuty</f>
        <v>0.05</v>
      </c>
      <c r="Z15" s="58">
        <f t="shared" si="2"/>
        <v>0.005</v>
      </c>
      <c r="AA15" s="58">
        <f t="shared" si="3"/>
        <v>0.01</v>
      </c>
      <c r="AB15" s="58" t="str">
        <f t="shared" si="4"/>
        <v>Small Envelope</v>
      </c>
      <c r="AC15" s="58">
        <f>IFERROR(VLOOKUP(AB15,FBN_SizeTiers,5,FALSE),0)</f>
        <v>0.02</v>
      </c>
      <c r="AD15" s="58">
        <f>IFERROR(MIN(MAX(K15,Z15)+AC15,VLOOKUP(AB15,FBN_SizeTiers,6,FALSE)),0)</f>
        <v>0.03</v>
      </c>
      <c r="AE15" s="59">
        <f>L15/(1+UAE_VAT)*UAE_VAT</f>
        <v>0.714285714285714</v>
      </c>
      <c r="AF15" s="59">
        <f>IFERROR(IF(INDEX(Comm_Table,MATCH(C15,INDEX(Comm_Table,,1),0),2)="Fixed",L15*INDEX(Comm_Table,MATCH(C15,INDEX(Comm_Table,,1),0),3),IF(INDEX(Comm_Table,MATCH(C15,INDEX(Comm_Table,,1),0),2)="Threshold",IF(L15&lt;=INDEX(Comm_Table,MATCH(C15,INDEX(Comm_Table,,1),0),4),L15*INDEX(Comm_Table,MATCH(C15,INDEX(Comm_Table,,1),0),3),L15*INDEX(Comm_Table,MATCH(C15,INDEX(Comm_Table,,1),0),5)),MIN(L15,INDEX(Comm_Table,MATCH(C15,INDEX(Comm_Table,,1),0),4))*INDEX(Comm_Table,MATCH(C15,INDEX(Comm_Table,,1),0),3)+MAX(0,L15-INDEX(Comm_Table,MATCH(C15,INDEX(Comm_Table,,1),0),4))*INDEX(Comm_Table,MATCH(C15,INDEX(Comm_Table,,1),0),5))),0)</f>
        <v>0</v>
      </c>
      <c r="AG15" s="59">
        <f>IFERROR(IF(INDEX(Comm_Table,MATCH(C15,INDEX(Comm_Table,,1),0),6)="Fixed",L15*INDEX(Comm_Table,MATCH(C15,INDEX(Comm_Table,,1),0),7),IF(INDEX(Comm_Table,MATCH(C15,INDEX(Comm_Table,,1),0),6)="Threshold",IF(L15&lt;=INDEX(Comm_Table,MATCH(C15,INDEX(Comm_Table,,1),0),8),L15*INDEX(Comm_Table,MATCH(C15,INDEX(Comm_Table,,1),0),7),L15*INDEX(Comm_Table,MATCH(C15,INDEX(Comm_Table,,1),0),9)),MIN(L15,INDEX(Comm_Table,MATCH(C15,INDEX(Comm_Table,,1),0),8))*INDEX(Comm_Table,MATCH(C15,INDEX(Comm_Table,,1),0),7)+MAX(0,L15-INDEX(Comm_Table,MATCH(C15,INDEX(Comm_Table,,1),0),8))*INDEX(Comm_Table,MATCH(C15,INDEX(Comm_Table,,1),0),9))),0)</f>
        <v>0</v>
      </c>
      <c r="AH15" s="60">
        <f t="shared" si="5"/>
        <v>0.02</v>
      </c>
      <c r="AI15" s="60">
        <f t="shared" si="6"/>
        <v>5</v>
      </c>
      <c r="AJ15" s="60">
        <f>AF15*UAE_VAT</f>
        <v>0</v>
      </c>
      <c r="AK15" s="60">
        <f t="shared" si="7"/>
        <v>0.75</v>
      </c>
      <c r="AL15" s="60">
        <f t="shared" si="8"/>
        <v>0</v>
      </c>
      <c r="AM15" s="60">
        <f t="shared" si="9"/>
        <v>0</v>
      </c>
      <c r="AN15" s="60">
        <f>(AI15+UAE_Restock)*N15</f>
        <v>0.25</v>
      </c>
      <c r="AO15" s="60">
        <f>D15+AH15+(AE15+AF15+AJ15+AI15+AK15+AM15+AN15)*UAE_Exch</f>
        <v>18.18</v>
      </c>
      <c r="AP15" s="61">
        <f t="shared" si="10"/>
        <v>0.02</v>
      </c>
      <c r="AQ15" s="61">
        <f>IFERROR(INDEX(FBP_Fees,MATCH(AA15,INDEX(FBP_Fees,,1),1),IF(FBP_DeliveryMode="Drop-off",2,3)),0)</f>
        <v>0</v>
      </c>
      <c r="AR15" s="61">
        <f t="shared" si="11"/>
        <v>10</v>
      </c>
      <c r="AS15" s="61">
        <f>AG15*UAE_VAT</f>
        <v>0</v>
      </c>
      <c r="AT15" s="61">
        <f t="shared" si="12"/>
        <v>0.75</v>
      </c>
      <c r="AU15" s="61">
        <f t="shared" si="13"/>
        <v>0</v>
      </c>
      <c r="AV15" s="61">
        <f>(AQ15+UAE_Restock)*N15</f>
        <v>0</v>
      </c>
      <c r="AW15" s="61">
        <f>D15+AP15+(AE15+AG15+AS15+AQ15+AT15+AU15+AV15)*UAE_Exch</f>
        <v>7.89</v>
      </c>
      <c r="AX15" s="62">
        <f t="shared" si="14"/>
        <v>6.5</v>
      </c>
      <c r="AY15" s="62">
        <f>IFERROR(INDEX(FBP_Fees,MATCH(AA15,INDEX(FBP_Fees,,1),1),IF(FBP_DeliveryMode="Drop-off",2,3)),0)</f>
        <v>0</v>
      </c>
      <c r="AZ15" s="62">
        <f t="shared" si="15"/>
        <v>10</v>
      </c>
      <c r="BA15" s="62">
        <f>AG15*UAE_VAT</f>
        <v>0</v>
      </c>
      <c r="BB15" s="62">
        <f t="shared" si="16"/>
        <v>0.75</v>
      </c>
      <c r="BC15" s="62">
        <f t="shared" si="17"/>
        <v>0</v>
      </c>
      <c r="BD15" s="62">
        <f>(AX15/UAE_Exch+AY15+UAE_Restock)*N15</f>
        <v>0.165816326530612</v>
      </c>
      <c r="BE15" s="62">
        <f>D15+AX15+(AE15+AG15+BA15+AY15+BB15+BC15+BD15)*UAE_Exch</f>
        <v>14.695</v>
      </c>
      <c r="BF15" s="63">
        <f>(L15/1.05/USD_AED)*USD_SAR</f>
        <v>14.5971195017517</v>
      </c>
      <c r="BG15" s="63">
        <f t="shared" si="18"/>
        <v>0.729855975087583</v>
      </c>
      <c r="BH15" s="63">
        <f>MAX(KSA_ClearanceFeeMin,MIN(KSA_ClearanceFeeMax,BF15*KSA_ClearanceFeeRate))</f>
        <v>15</v>
      </c>
      <c r="BI15" s="63">
        <f>(BF15+BG15)*KSA_VAT</f>
        <v>2.29904632152589</v>
      </c>
      <c r="BJ15" s="63">
        <f>(BF15+BG15+BH15)*(1+KSA_VAT)</f>
        <v>34.8760217983651</v>
      </c>
      <c r="BK15" s="63">
        <f>L15*CrossBorderFeeRate</f>
        <v>0.75</v>
      </c>
      <c r="BL15" s="63">
        <f t="shared" si="19"/>
        <v>0</v>
      </c>
      <c r="BM15" s="63">
        <f>BL15*UAE_VAT</f>
        <v>0</v>
      </c>
      <c r="BN15" s="63">
        <f t="shared" si="20"/>
        <v>0.75</v>
      </c>
      <c r="BO15" s="63">
        <f t="shared" si="21"/>
        <v>0</v>
      </c>
      <c r="BP15" s="63">
        <f t="shared" si="22"/>
        <v>0.901445114830673</v>
      </c>
      <c r="BQ15" s="63">
        <f>D15+AH15+(BK15+BL15+BM15+BN15+BO15+AI15)*UAE_Exch+(BP15)*KSA_Exch</f>
        <v>19.4907746204749</v>
      </c>
    </row>
    <row r="16" spans="1:69">
      <c r="A16" s="50"/>
      <c r="B16" s="50"/>
      <c r="C16" s="50"/>
      <c r="D16" s="51">
        <v>5</v>
      </c>
      <c r="E16" s="52">
        <v>800</v>
      </c>
      <c r="F16" s="52">
        <v>45</v>
      </c>
      <c r="G16" s="52">
        <v>2</v>
      </c>
      <c r="H16" s="52">
        <v>5</v>
      </c>
      <c r="I16" s="52">
        <v>5</v>
      </c>
      <c r="J16" s="52">
        <v>1</v>
      </c>
      <c r="K16" s="52">
        <v>0.01</v>
      </c>
      <c r="L16" s="52">
        <v>15</v>
      </c>
      <c r="M16" s="53">
        <v>0.05</v>
      </c>
      <c r="N16" s="53">
        <v>0.05</v>
      </c>
      <c r="O16" s="54">
        <f>L16*UAE_Exch-AO16</f>
        <v>11.22</v>
      </c>
      <c r="P16" s="55">
        <f>IF(L16&gt;0,O16/(L16*UAE_Exch),0)</f>
        <v>0.381632653061224</v>
      </c>
      <c r="Q16" s="54">
        <f>(L16+AR16)*UAE_Exch-AW16</f>
        <v>41.11</v>
      </c>
      <c r="R16" s="55">
        <f>IF(L16&gt;0,Q16/(L16*UAE_Exch),0)</f>
        <v>1.39829931972789</v>
      </c>
      <c r="S16" s="54">
        <f>(L16+AZ16)*UAE_Exch-BE16</f>
        <v>34.305</v>
      </c>
      <c r="T16" s="55">
        <f>IF(L16&gt;0,S16/(L16*UAE_Exch),0)</f>
        <v>1.16683673469388</v>
      </c>
      <c r="U16" s="54">
        <f>BF16*KSA_Exch-BQ16</f>
        <v>8.53569482288828</v>
      </c>
      <c r="V16" s="55">
        <f>IF(BF16&gt;0,U16/(BF16*KSA_Exch),0)</f>
        <v>0.304558333333333</v>
      </c>
      <c r="W16" s="56" t="str">
        <f t="shared" si="0"/>
        <v>海外仓FBP</v>
      </c>
      <c r="X16" s="54">
        <f t="shared" si="1"/>
        <v>41.11</v>
      </c>
      <c r="Y16" s="57">
        <f>GCC_DefaultDuty</f>
        <v>0.05</v>
      </c>
      <c r="Z16" s="58">
        <f t="shared" si="2"/>
        <v>0.005</v>
      </c>
      <c r="AA16" s="58">
        <f t="shared" si="3"/>
        <v>0.01</v>
      </c>
      <c r="AB16" s="58" t="str">
        <f t="shared" si="4"/>
        <v>Small Envelope</v>
      </c>
      <c r="AC16" s="58">
        <f>IFERROR(VLOOKUP(AB16,FBN_SizeTiers,5,FALSE),0)</f>
        <v>0.02</v>
      </c>
      <c r="AD16" s="58">
        <f>IFERROR(MIN(MAX(K16,Z16)+AC16,VLOOKUP(AB16,FBN_SizeTiers,6,FALSE)),0)</f>
        <v>0.03</v>
      </c>
      <c r="AE16" s="59">
        <f>L16/(1+UAE_VAT)*UAE_VAT</f>
        <v>0.714285714285714</v>
      </c>
      <c r="AF16" s="59">
        <f>IFERROR(IF(INDEX(Comm_Table,MATCH(C16,INDEX(Comm_Table,,1),0),2)="Fixed",L16*INDEX(Comm_Table,MATCH(C16,INDEX(Comm_Table,,1),0),3),IF(INDEX(Comm_Table,MATCH(C16,INDEX(Comm_Table,,1),0),2)="Threshold",IF(L16&lt;=INDEX(Comm_Table,MATCH(C16,INDEX(Comm_Table,,1),0),4),L16*INDEX(Comm_Table,MATCH(C16,INDEX(Comm_Table,,1),0),3),L16*INDEX(Comm_Table,MATCH(C16,INDEX(Comm_Table,,1),0),5)),MIN(L16,INDEX(Comm_Table,MATCH(C16,INDEX(Comm_Table,,1),0),4))*INDEX(Comm_Table,MATCH(C16,INDEX(Comm_Table,,1),0),3)+MAX(0,L16-INDEX(Comm_Table,MATCH(C16,INDEX(Comm_Table,,1),0),4))*INDEX(Comm_Table,MATCH(C16,INDEX(Comm_Table,,1),0),5))),0)</f>
        <v>0</v>
      </c>
      <c r="AG16" s="59">
        <f>IFERROR(IF(INDEX(Comm_Table,MATCH(C16,INDEX(Comm_Table,,1),0),6)="Fixed",L16*INDEX(Comm_Table,MATCH(C16,INDEX(Comm_Table,,1),0),7),IF(INDEX(Comm_Table,MATCH(C16,INDEX(Comm_Table,,1),0),6)="Threshold",IF(L16&lt;=INDEX(Comm_Table,MATCH(C16,INDEX(Comm_Table,,1),0),8),L16*INDEX(Comm_Table,MATCH(C16,INDEX(Comm_Table,,1),0),7),L16*INDEX(Comm_Table,MATCH(C16,INDEX(Comm_Table,,1),0),9)),MIN(L16,INDEX(Comm_Table,MATCH(C16,INDEX(Comm_Table,,1),0),8))*INDEX(Comm_Table,MATCH(C16,INDEX(Comm_Table,,1),0),7)+MAX(0,L16-INDEX(Comm_Table,MATCH(C16,INDEX(Comm_Table,,1),0),8))*INDEX(Comm_Table,MATCH(C16,INDEX(Comm_Table,,1),0),9))),0)</f>
        <v>0</v>
      </c>
      <c r="AH16" s="60">
        <f t="shared" si="5"/>
        <v>0.02</v>
      </c>
      <c r="AI16" s="60">
        <f t="shared" si="6"/>
        <v>5</v>
      </c>
      <c r="AJ16" s="60">
        <f>AF16*UAE_VAT</f>
        <v>0</v>
      </c>
      <c r="AK16" s="60">
        <f t="shared" si="7"/>
        <v>0.75</v>
      </c>
      <c r="AL16" s="60">
        <f t="shared" si="8"/>
        <v>0</v>
      </c>
      <c r="AM16" s="60">
        <f t="shared" si="9"/>
        <v>0</v>
      </c>
      <c r="AN16" s="60">
        <f>(AI16+UAE_Restock)*N16</f>
        <v>0.25</v>
      </c>
      <c r="AO16" s="60">
        <f>D16+AH16+(AE16+AF16+AJ16+AI16+AK16+AM16+AN16)*UAE_Exch</f>
        <v>18.18</v>
      </c>
      <c r="AP16" s="61">
        <f t="shared" si="10"/>
        <v>0.02</v>
      </c>
      <c r="AQ16" s="61">
        <f>IFERROR(INDEX(FBP_Fees,MATCH(AA16,INDEX(FBP_Fees,,1),1),IF(FBP_DeliveryMode="Drop-off",2,3)),0)</f>
        <v>0</v>
      </c>
      <c r="AR16" s="61">
        <f t="shared" si="11"/>
        <v>10</v>
      </c>
      <c r="AS16" s="61">
        <f>AG16*UAE_VAT</f>
        <v>0</v>
      </c>
      <c r="AT16" s="61">
        <f t="shared" si="12"/>
        <v>0.75</v>
      </c>
      <c r="AU16" s="61">
        <f t="shared" si="13"/>
        <v>0</v>
      </c>
      <c r="AV16" s="61">
        <f>(AQ16+UAE_Restock)*N16</f>
        <v>0</v>
      </c>
      <c r="AW16" s="61">
        <f>D16+AP16+(AE16+AG16+AS16+AQ16+AT16+AU16+AV16)*UAE_Exch</f>
        <v>7.89</v>
      </c>
      <c r="AX16" s="62">
        <f t="shared" si="14"/>
        <v>6.5</v>
      </c>
      <c r="AY16" s="62">
        <f>IFERROR(INDEX(FBP_Fees,MATCH(AA16,INDEX(FBP_Fees,,1),1),IF(FBP_DeliveryMode="Drop-off",2,3)),0)</f>
        <v>0</v>
      </c>
      <c r="AZ16" s="62">
        <f t="shared" si="15"/>
        <v>10</v>
      </c>
      <c r="BA16" s="62">
        <f>AG16*UAE_VAT</f>
        <v>0</v>
      </c>
      <c r="BB16" s="62">
        <f t="shared" si="16"/>
        <v>0.75</v>
      </c>
      <c r="BC16" s="62">
        <f t="shared" si="17"/>
        <v>0</v>
      </c>
      <c r="BD16" s="62">
        <f>(AX16/UAE_Exch+AY16+UAE_Restock)*N16</f>
        <v>0.165816326530612</v>
      </c>
      <c r="BE16" s="62">
        <f>D16+AX16+(AE16+AG16+BA16+AY16+BB16+BC16+BD16)*UAE_Exch</f>
        <v>14.695</v>
      </c>
      <c r="BF16" s="63">
        <f>(L16/1.05/USD_AED)*USD_SAR</f>
        <v>14.5971195017517</v>
      </c>
      <c r="BG16" s="63">
        <f t="shared" si="18"/>
        <v>0.729855975087583</v>
      </c>
      <c r="BH16" s="63">
        <f>MAX(KSA_ClearanceFeeMin,MIN(KSA_ClearanceFeeMax,BF16*KSA_ClearanceFeeRate))</f>
        <v>15</v>
      </c>
      <c r="BI16" s="63">
        <f>(BF16+BG16)*KSA_VAT</f>
        <v>2.29904632152589</v>
      </c>
      <c r="BJ16" s="63">
        <f>(BF16+BG16+BH16)*(1+KSA_VAT)</f>
        <v>34.8760217983651</v>
      </c>
      <c r="BK16" s="63">
        <f>L16*CrossBorderFeeRate</f>
        <v>0.75</v>
      </c>
      <c r="BL16" s="63">
        <f t="shared" si="19"/>
        <v>0</v>
      </c>
      <c r="BM16" s="63">
        <f>BL16*UAE_VAT</f>
        <v>0</v>
      </c>
      <c r="BN16" s="63">
        <f t="shared" si="20"/>
        <v>0.75</v>
      </c>
      <c r="BO16" s="63">
        <f t="shared" si="21"/>
        <v>0</v>
      </c>
      <c r="BP16" s="63">
        <f t="shared" si="22"/>
        <v>0.901445114830673</v>
      </c>
      <c r="BQ16" s="63">
        <f>D16+AH16+(BK16+BL16+BM16+BN16+BO16+AI16)*UAE_Exch+(BP16)*KSA_Exch</f>
        <v>19.4907746204749</v>
      </c>
    </row>
    <row r="17" spans="1:69">
      <c r="A17" s="50"/>
      <c r="B17" s="50"/>
      <c r="C17" s="50"/>
      <c r="D17" s="51">
        <v>5</v>
      </c>
      <c r="E17" s="52">
        <v>800</v>
      </c>
      <c r="F17" s="52">
        <v>45</v>
      </c>
      <c r="G17" s="52">
        <v>2</v>
      </c>
      <c r="H17" s="52">
        <v>5</v>
      </c>
      <c r="I17" s="52">
        <v>5</v>
      </c>
      <c r="J17" s="52">
        <v>1</v>
      </c>
      <c r="K17" s="52">
        <v>0.01</v>
      </c>
      <c r="L17" s="52">
        <v>15</v>
      </c>
      <c r="M17" s="53">
        <v>0.05</v>
      </c>
      <c r="N17" s="53">
        <v>0.05</v>
      </c>
      <c r="O17" s="54">
        <f>L17*UAE_Exch-AO17</f>
        <v>11.22</v>
      </c>
      <c r="P17" s="55">
        <f>IF(L17&gt;0,O17/(L17*UAE_Exch),0)</f>
        <v>0.381632653061224</v>
      </c>
      <c r="Q17" s="54">
        <f>(L17+AR17)*UAE_Exch-AW17</f>
        <v>41.11</v>
      </c>
      <c r="R17" s="55">
        <f>IF(L17&gt;0,Q17/(L17*UAE_Exch),0)</f>
        <v>1.39829931972789</v>
      </c>
      <c r="S17" s="54">
        <f>(L17+AZ17)*UAE_Exch-BE17</f>
        <v>34.305</v>
      </c>
      <c r="T17" s="55">
        <f>IF(L17&gt;0,S17/(L17*UAE_Exch),0)</f>
        <v>1.16683673469388</v>
      </c>
      <c r="U17" s="54">
        <f>BF17*KSA_Exch-BQ17</f>
        <v>8.53569482288828</v>
      </c>
      <c r="V17" s="55">
        <f>IF(BF17&gt;0,U17/(BF17*KSA_Exch),0)</f>
        <v>0.304558333333333</v>
      </c>
      <c r="W17" s="56" t="str">
        <f t="shared" si="0"/>
        <v>海外仓FBP</v>
      </c>
      <c r="X17" s="54">
        <f t="shared" si="1"/>
        <v>41.11</v>
      </c>
      <c r="Y17" s="57">
        <f>GCC_DefaultDuty</f>
        <v>0.05</v>
      </c>
      <c r="Z17" s="58">
        <f t="shared" si="2"/>
        <v>0.005</v>
      </c>
      <c r="AA17" s="58">
        <f t="shared" si="3"/>
        <v>0.01</v>
      </c>
      <c r="AB17" s="58" t="str">
        <f t="shared" si="4"/>
        <v>Small Envelope</v>
      </c>
      <c r="AC17" s="58">
        <f>IFERROR(VLOOKUP(AB17,FBN_SizeTiers,5,FALSE),0)</f>
        <v>0.02</v>
      </c>
      <c r="AD17" s="58">
        <f>IFERROR(MIN(MAX(K17,Z17)+AC17,VLOOKUP(AB17,FBN_SizeTiers,6,FALSE)),0)</f>
        <v>0.03</v>
      </c>
      <c r="AE17" s="59">
        <f>L17/(1+UAE_VAT)*UAE_VAT</f>
        <v>0.714285714285714</v>
      </c>
      <c r="AF17" s="59">
        <f>IFERROR(IF(INDEX(Comm_Table,MATCH(C17,INDEX(Comm_Table,,1),0),2)="Fixed",L17*INDEX(Comm_Table,MATCH(C17,INDEX(Comm_Table,,1),0),3),IF(INDEX(Comm_Table,MATCH(C17,INDEX(Comm_Table,,1),0),2)="Threshold",IF(L17&lt;=INDEX(Comm_Table,MATCH(C17,INDEX(Comm_Table,,1),0),4),L17*INDEX(Comm_Table,MATCH(C17,INDEX(Comm_Table,,1),0),3),L17*INDEX(Comm_Table,MATCH(C17,INDEX(Comm_Table,,1),0),5)),MIN(L17,INDEX(Comm_Table,MATCH(C17,INDEX(Comm_Table,,1),0),4))*INDEX(Comm_Table,MATCH(C17,INDEX(Comm_Table,,1),0),3)+MAX(0,L17-INDEX(Comm_Table,MATCH(C17,INDEX(Comm_Table,,1),0),4))*INDEX(Comm_Table,MATCH(C17,INDEX(Comm_Table,,1),0),5))),0)</f>
        <v>0</v>
      </c>
      <c r="AG17" s="59">
        <f>IFERROR(IF(INDEX(Comm_Table,MATCH(C17,INDEX(Comm_Table,,1),0),6)="Fixed",L17*INDEX(Comm_Table,MATCH(C17,INDEX(Comm_Table,,1),0),7),IF(INDEX(Comm_Table,MATCH(C17,INDEX(Comm_Table,,1),0),6)="Threshold",IF(L17&lt;=INDEX(Comm_Table,MATCH(C17,INDEX(Comm_Table,,1),0),8),L17*INDEX(Comm_Table,MATCH(C17,INDEX(Comm_Table,,1),0),7),L17*INDEX(Comm_Table,MATCH(C17,INDEX(Comm_Table,,1),0),9)),MIN(L17,INDEX(Comm_Table,MATCH(C17,INDEX(Comm_Table,,1),0),8))*INDEX(Comm_Table,MATCH(C17,INDEX(Comm_Table,,1),0),7)+MAX(0,L17-INDEX(Comm_Table,MATCH(C17,INDEX(Comm_Table,,1),0),8))*INDEX(Comm_Table,MATCH(C17,INDEX(Comm_Table,,1),0),9))),0)</f>
        <v>0</v>
      </c>
      <c r="AH17" s="60">
        <f t="shared" si="5"/>
        <v>0.02</v>
      </c>
      <c r="AI17" s="60">
        <f t="shared" si="6"/>
        <v>5</v>
      </c>
      <c r="AJ17" s="60">
        <f>AF17*UAE_VAT</f>
        <v>0</v>
      </c>
      <c r="AK17" s="60">
        <f t="shared" si="7"/>
        <v>0.75</v>
      </c>
      <c r="AL17" s="60">
        <f t="shared" si="8"/>
        <v>0</v>
      </c>
      <c r="AM17" s="60">
        <f t="shared" si="9"/>
        <v>0</v>
      </c>
      <c r="AN17" s="60">
        <f>(AI17+UAE_Restock)*N17</f>
        <v>0.25</v>
      </c>
      <c r="AO17" s="60">
        <f>D17+AH17+(AE17+AF17+AJ17+AI17+AK17+AM17+AN17)*UAE_Exch</f>
        <v>18.18</v>
      </c>
      <c r="AP17" s="61">
        <f t="shared" si="10"/>
        <v>0.02</v>
      </c>
      <c r="AQ17" s="61">
        <f>IFERROR(INDEX(FBP_Fees,MATCH(AA17,INDEX(FBP_Fees,,1),1),IF(FBP_DeliveryMode="Drop-off",2,3)),0)</f>
        <v>0</v>
      </c>
      <c r="AR17" s="61">
        <f t="shared" si="11"/>
        <v>10</v>
      </c>
      <c r="AS17" s="61">
        <f>AG17*UAE_VAT</f>
        <v>0</v>
      </c>
      <c r="AT17" s="61">
        <f t="shared" si="12"/>
        <v>0.75</v>
      </c>
      <c r="AU17" s="61">
        <f t="shared" si="13"/>
        <v>0</v>
      </c>
      <c r="AV17" s="61">
        <f>(AQ17+UAE_Restock)*N17</f>
        <v>0</v>
      </c>
      <c r="AW17" s="61">
        <f>D17+AP17+(AE17+AG17+AS17+AQ17+AT17+AU17+AV17)*UAE_Exch</f>
        <v>7.89</v>
      </c>
      <c r="AX17" s="62">
        <f t="shared" si="14"/>
        <v>6.5</v>
      </c>
      <c r="AY17" s="62">
        <f>IFERROR(INDEX(FBP_Fees,MATCH(AA17,INDEX(FBP_Fees,,1),1),IF(FBP_DeliveryMode="Drop-off",2,3)),0)</f>
        <v>0</v>
      </c>
      <c r="AZ17" s="62">
        <f t="shared" si="15"/>
        <v>10</v>
      </c>
      <c r="BA17" s="62">
        <f>AG17*UAE_VAT</f>
        <v>0</v>
      </c>
      <c r="BB17" s="62">
        <f t="shared" si="16"/>
        <v>0.75</v>
      </c>
      <c r="BC17" s="62">
        <f t="shared" si="17"/>
        <v>0</v>
      </c>
      <c r="BD17" s="62">
        <f>(AX17/UAE_Exch+AY17+UAE_Restock)*N17</f>
        <v>0.165816326530612</v>
      </c>
      <c r="BE17" s="62">
        <f>D17+AX17+(AE17+AG17+BA17+AY17+BB17+BC17+BD17)*UAE_Exch</f>
        <v>14.695</v>
      </c>
      <c r="BF17" s="63">
        <f>(L17/1.05/USD_AED)*USD_SAR</f>
        <v>14.5971195017517</v>
      </c>
      <c r="BG17" s="63">
        <f t="shared" si="18"/>
        <v>0.729855975087583</v>
      </c>
      <c r="BH17" s="63">
        <f>MAX(KSA_ClearanceFeeMin,MIN(KSA_ClearanceFeeMax,BF17*KSA_ClearanceFeeRate))</f>
        <v>15</v>
      </c>
      <c r="BI17" s="63">
        <f>(BF17+BG17)*KSA_VAT</f>
        <v>2.29904632152589</v>
      </c>
      <c r="BJ17" s="63">
        <f>(BF17+BG17+BH17)*(1+KSA_VAT)</f>
        <v>34.8760217983651</v>
      </c>
      <c r="BK17" s="63">
        <f>L17*CrossBorderFeeRate</f>
        <v>0.75</v>
      </c>
      <c r="BL17" s="63">
        <f t="shared" si="19"/>
        <v>0</v>
      </c>
      <c r="BM17" s="63">
        <f>BL17*UAE_VAT</f>
        <v>0</v>
      </c>
      <c r="BN17" s="63">
        <f t="shared" si="20"/>
        <v>0.75</v>
      </c>
      <c r="BO17" s="63">
        <f t="shared" si="21"/>
        <v>0</v>
      </c>
      <c r="BP17" s="63">
        <f t="shared" si="22"/>
        <v>0.901445114830673</v>
      </c>
      <c r="BQ17" s="63">
        <f>D17+AH17+(BK17+BL17+BM17+BN17+BO17+AI17)*UAE_Exch+(BP17)*KSA_Exch</f>
        <v>19.4907746204749</v>
      </c>
    </row>
    <row r="18" spans="1:69">
      <c r="A18" s="50"/>
      <c r="B18" s="50"/>
      <c r="C18" s="50"/>
      <c r="D18" s="51">
        <v>5</v>
      </c>
      <c r="E18" s="52">
        <v>800</v>
      </c>
      <c r="F18" s="52">
        <v>45</v>
      </c>
      <c r="G18" s="52">
        <v>2</v>
      </c>
      <c r="H18" s="52">
        <v>5</v>
      </c>
      <c r="I18" s="52">
        <v>5</v>
      </c>
      <c r="J18" s="52">
        <v>1</v>
      </c>
      <c r="K18" s="52">
        <v>0.01</v>
      </c>
      <c r="L18" s="52">
        <v>15</v>
      </c>
      <c r="M18" s="53">
        <v>0.05</v>
      </c>
      <c r="N18" s="53">
        <v>0.05</v>
      </c>
      <c r="O18" s="54">
        <f>L18*UAE_Exch-AO18</f>
        <v>11.22</v>
      </c>
      <c r="P18" s="55">
        <f>IF(L18&gt;0,O18/(L18*UAE_Exch),0)</f>
        <v>0.381632653061224</v>
      </c>
      <c r="Q18" s="54">
        <f>(L18+AR18)*UAE_Exch-AW18</f>
        <v>41.11</v>
      </c>
      <c r="R18" s="55">
        <f>IF(L18&gt;0,Q18/(L18*UAE_Exch),0)</f>
        <v>1.39829931972789</v>
      </c>
      <c r="S18" s="54">
        <f>(L18+AZ18)*UAE_Exch-BE18</f>
        <v>34.305</v>
      </c>
      <c r="T18" s="55">
        <f>IF(L18&gt;0,S18/(L18*UAE_Exch),0)</f>
        <v>1.16683673469388</v>
      </c>
      <c r="U18" s="54">
        <f>BF18*KSA_Exch-BQ18</f>
        <v>8.53569482288828</v>
      </c>
      <c r="V18" s="55">
        <f>IF(BF18&gt;0,U18/(BF18*KSA_Exch),0)</f>
        <v>0.304558333333333</v>
      </c>
      <c r="W18" s="56" t="str">
        <f t="shared" si="0"/>
        <v>海外仓FBP</v>
      </c>
      <c r="X18" s="54">
        <f t="shared" si="1"/>
        <v>41.11</v>
      </c>
      <c r="Y18" s="57">
        <f>GCC_DefaultDuty</f>
        <v>0.05</v>
      </c>
      <c r="Z18" s="58">
        <f t="shared" si="2"/>
        <v>0.005</v>
      </c>
      <c r="AA18" s="58">
        <f t="shared" si="3"/>
        <v>0.01</v>
      </c>
      <c r="AB18" s="58" t="str">
        <f t="shared" si="4"/>
        <v>Small Envelope</v>
      </c>
      <c r="AC18" s="58">
        <f>IFERROR(VLOOKUP(AB18,FBN_SizeTiers,5,FALSE),0)</f>
        <v>0.02</v>
      </c>
      <c r="AD18" s="58">
        <f>IFERROR(MIN(MAX(K18,Z18)+AC18,VLOOKUP(AB18,FBN_SizeTiers,6,FALSE)),0)</f>
        <v>0.03</v>
      </c>
      <c r="AE18" s="59">
        <f>L18/(1+UAE_VAT)*UAE_VAT</f>
        <v>0.714285714285714</v>
      </c>
      <c r="AF18" s="59">
        <f>IFERROR(IF(INDEX(Comm_Table,MATCH(C18,INDEX(Comm_Table,,1),0),2)="Fixed",L18*INDEX(Comm_Table,MATCH(C18,INDEX(Comm_Table,,1),0),3),IF(INDEX(Comm_Table,MATCH(C18,INDEX(Comm_Table,,1),0),2)="Threshold",IF(L18&lt;=INDEX(Comm_Table,MATCH(C18,INDEX(Comm_Table,,1),0),4),L18*INDEX(Comm_Table,MATCH(C18,INDEX(Comm_Table,,1),0),3),L18*INDEX(Comm_Table,MATCH(C18,INDEX(Comm_Table,,1),0),5)),MIN(L18,INDEX(Comm_Table,MATCH(C18,INDEX(Comm_Table,,1),0),4))*INDEX(Comm_Table,MATCH(C18,INDEX(Comm_Table,,1),0),3)+MAX(0,L18-INDEX(Comm_Table,MATCH(C18,INDEX(Comm_Table,,1),0),4))*INDEX(Comm_Table,MATCH(C18,INDEX(Comm_Table,,1),0),5))),0)</f>
        <v>0</v>
      </c>
      <c r="AG18" s="59">
        <f>IFERROR(IF(INDEX(Comm_Table,MATCH(C18,INDEX(Comm_Table,,1),0),6)="Fixed",L18*INDEX(Comm_Table,MATCH(C18,INDEX(Comm_Table,,1),0),7),IF(INDEX(Comm_Table,MATCH(C18,INDEX(Comm_Table,,1),0),6)="Threshold",IF(L18&lt;=INDEX(Comm_Table,MATCH(C18,INDEX(Comm_Table,,1),0),8),L18*INDEX(Comm_Table,MATCH(C18,INDEX(Comm_Table,,1),0),7),L18*INDEX(Comm_Table,MATCH(C18,INDEX(Comm_Table,,1),0),9)),MIN(L18,INDEX(Comm_Table,MATCH(C18,INDEX(Comm_Table,,1),0),8))*INDEX(Comm_Table,MATCH(C18,INDEX(Comm_Table,,1),0),7)+MAX(0,L18-INDEX(Comm_Table,MATCH(C18,INDEX(Comm_Table,,1),0),8))*INDEX(Comm_Table,MATCH(C18,INDEX(Comm_Table,,1),0),9))),0)</f>
        <v>0</v>
      </c>
      <c r="AH18" s="60">
        <f t="shared" si="5"/>
        <v>0.02</v>
      </c>
      <c r="AI18" s="60">
        <f t="shared" si="6"/>
        <v>5</v>
      </c>
      <c r="AJ18" s="60">
        <f>AF18*UAE_VAT</f>
        <v>0</v>
      </c>
      <c r="AK18" s="60">
        <f t="shared" si="7"/>
        <v>0.75</v>
      </c>
      <c r="AL18" s="60">
        <f t="shared" si="8"/>
        <v>0</v>
      </c>
      <c r="AM18" s="60">
        <f t="shared" si="9"/>
        <v>0</v>
      </c>
      <c r="AN18" s="60">
        <f>(AI18+UAE_Restock)*N18</f>
        <v>0.25</v>
      </c>
      <c r="AO18" s="60">
        <f>D18+AH18+(AE18+AF18+AJ18+AI18+AK18+AM18+AN18)*UAE_Exch</f>
        <v>18.18</v>
      </c>
      <c r="AP18" s="61">
        <f t="shared" si="10"/>
        <v>0.02</v>
      </c>
      <c r="AQ18" s="61">
        <f>IFERROR(INDEX(FBP_Fees,MATCH(AA18,INDEX(FBP_Fees,,1),1),IF(FBP_DeliveryMode="Drop-off",2,3)),0)</f>
        <v>0</v>
      </c>
      <c r="AR18" s="61">
        <f t="shared" si="11"/>
        <v>10</v>
      </c>
      <c r="AS18" s="61">
        <f>AG18*UAE_VAT</f>
        <v>0</v>
      </c>
      <c r="AT18" s="61">
        <f t="shared" si="12"/>
        <v>0.75</v>
      </c>
      <c r="AU18" s="61">
        <f t="shared" si="13"/>
        <v>0</v>
      </c>
      <c r="AV18" s="61">
        <f>(AQ18+UAE_Restock)*N18</f>
        <v>0</v>
      </c>
      <c r="AW18" s="61">
        <f>D18+AP18+(AE18+AG18+AS18+AQ18+AT18+AU18+AV18)*UAE_Exch</f>
        <v>7.89</v>
      </c>
      <c r="AX18" s="62">
        <f t="shared" si="14"/>
        <v>6.5</v>
      </c>
      <c r="AY18" s="62">
        <f>IFERROR(INDEX(FBP_Fees,MATCH(AA18,INDEX(FBP_Fees,,1),1),IF(FBP_DeliveryMode="Drop-off",2,3)),0)</f>
        <v>0</v>
      </c>
      <c r="AZ18" s="62">
        <f t="shared" si="15"/>
        <v>10</v>
      </c>
      <c r="BA18" s="62">
        <f>AG18*UAE_VAT</f>
        <v>0</v>
      </c>
      <c r="BB18" s="62">
        <f t="shared" si="16"/>
        <v>0.75</v>
      </c>
      <c r="BC18" s="62">
        <f t="shared" si="17"/>
        <v>0</v>
      </c>
      <c r="BD18" s="62">
        <f>(AX18/UAE_Exch+AY18+UAE_Restock)*N18</f>
        <v>0.165816326530612</v>
      </c>
      <c r="BE18" s="62">
        <f>D18+AX18+(AE18+AG18+BA18+AY18+BB18+BC18+BD18)*UAE_Exch</f>
        <v>14.695</v>
      </c>
      <c r="BF18" s="63">
        <f>(L18/1.05/USD_AED)*USD_SAR</f>
        <v>14.5971195017517</v>
      </c>
      <c r="BG18" s="63">
        <f t="shared" si="18"/>
        <v>0.729855975087583</v>
      </c>
      <c r="BH18" s="63">
        <f>MAX(KSA_ClearanceFeeMin,MIN(KSA_ClearanceFeeMax,BF18*KSA_ClearanceFeeRate))</f>
        <v>15</v>
      </c>
      <c r="BI18" s="63">
        <f>(BF18+BG18)*KSA_VAT</f>
        <v>2.29904632152589</v>
      </c>
      <c r="BJ18" s="63">
        <f>(BF18+BG18+BH18)*(1+KSA_VAT)</f>
        <v>34.8760217983651</v>
      </c>
      <c r="BK18" s="63">
        <f>L18*CrossBorderFeeRate</f>
        <v>0.75</v>
      </c>
      <c r="BL18" s="63">
        <f t="shared" si="19"/>
        <v>0</v>
      </c>
      <c r="BM18" s="63">
        <f>BL18*UAE_VAT</f>
        <v>0</v>
      </c>
      <c r="BN18" s="63">
        <f t="shared" si="20"/>
        <v>0.75</v>
      </c>
      <c r="BO18" s="63">
        <f t="shared" si="21"/>
        <v>0</v>
      </c>
      <c r="BP18" s="63">
        <f t="shared" si="22"/>
        <v>0.901445114830673</v>
      </c>
      <c r="BQ18" s="63">
        <f>D18+AH18+(BK18+BL18+BM18+BN18+BO18+AI18)*UAE_Exch+(BP18)*KSA_Exch</f>
        <v>19.4907746204749</v>
      </c>
    </row>
    <row r="19" spans="1:69">
      <c r="A19" s="50"/>
      <c r="B19" s="50"/>
      <c r="C19" s="50"/>
      <c r="D19" s="51">
        <v>5</v>
      </c>
      <c r="E19" s="52">
        <v>800</v>
      </c>
      <c r="F19" s="52">
        <v>45</v>
      </c>
      <c r="G19" s="52">
        <v>2</v>
      </c>
      <c r="H19" s="52">
        <v>5</v>
      </c>
      <c r="I19" s="52">
        <v>5</v>
      </c>
      <c r="J19" s="52">
        <v>1</v>
      </c>
      <c r="K19" s="52">
        <v>0.01</v>
      </c>
      <c r="L19" s="52">
        <v>15</v>
      </c>
      <c r="M19" s="53">
        <v>0.05</v>
      </c>
      <c r="N19" s="53">
        <v>0.05</v>
      </c>
      <c r="O19" s="54">
        <f>L19*UAE_Exch-AO19</f>
        <v>11.22</v>
      </c>
      <c r="P19" s="55">
        <f>IF(L19&gt;0,O19/(L19*UAE_Exch),0)</f>
        <v>0.381632653061224</v>
      </c>
      <c r="Q19" s="54">
        <f>(L19+AR19)*UAE_Exch-AW19</f>
        <v>41.11</v>
      </c>
      <c r="R19" s="55">
        <f>IF(L19&gt;0,Q19/(L19*UAE_Exch),0)</f>
        <v>1.39829931972789</v>
      </c>
      <c r="S19" s="54">
        <f>(L19+AZ19)*UAE_Exch-BE19</f>
        <v>34.305</v>
      </c>
      <c r="T19" s="55">
        <f>IF(L19&gt;0,S19/(L19*UAE_Exch),0)</f>
        <v>1.16683673469388</v>
      </c>
      <c r="U19" s="54">
        <f>BF19*KSA_Exch-BQ19</f>
        <v>8.53569482288828</v>
      </c>
      <c r="V19" s="55">
        <f>IF(BF19&gt;0,U19/(BF19*KSA_Exch),0)</f>
        <v>0.304558333333333</v>
      </c>
      <c r="W19" s="56" t="str">
        <f t="shared" si="0"/>
        <v>海外仓FBP</v>
      </c>
      <c r="X19" s="54">
        <f t="shared" si="1"/>
        <v>41.11</v>
      </c>
      <c r="Y19" s="57">
        <f>GCC_DefaultDuty</f>
        <v>0.05</v>
      </c>
      <c r="Z19" s="58">
        <f t="shared" si="2"/>
        <v>0.005</v>
      </c>
      <c r="AA19" s="58">
        <f t="shared" si="3"/>
        <v>0.01</v>
      </c>
      <c r="AB19" s="58" t="str">
        <f t="shared" si="4"/>
        <v>Small Envelope</v>
      </c>
      <c r="AC19" s="58">
        <f>IFERROR(VLOOKUP(AB19,FBN_SizeTiers,5,FALSE),0)</f>
        <v>0.02</v>
      </c>
      <c r="AD19" s="58">
        <f>IFERROR(MIN(MAX(K19,Z19)+AC19,VLOOKUP(AB19,FBN_SizeTiers,6,FALSE)),0)</f>
        <v>0.03</v>
      </c>
      <c r="AE19" s="59">
        <f>L19/(1+UAE_VAT)*UAE_VAT</f>
        <v>0.714285714285714</v>
      </c>
      <c r="AF19" s="59">
        <f>IFERROR(IF(INDEX(Comm_Table,MATCH(C19,INDEX(Comm_Table,,1),0),2)="Fixed",L19*INDEX(Comm_Table,MATCH(C19,INDEX(Comm_Table,,1),0),3),IF(INDEX(Comm_Table,MATCH(C19,INDEX(Comm_Table,,1),0),2)="Threshold",IF(L19&lt;=INDEX(Comm_Table,MATCH(C19,INDEX(Comm_Table,,1),0),4),L19*INDEX(Comm_Table,MATCH(C19,INDEX(Comm_Table,,1),0),3),L19*INDEX(Comm_Table,MATCH(C19,INDEX(Comm_Table,,1),0),5)),MIN(L19,INDEX(Comm_Table,MATCH(C19,INDEX(Comm_Table,,1),0),4))*INDEX(Comm_Table,MATCH(C19,INDEX(Comm_Table,,1),0),3)+MAX(0,L19-INDEX(Comm_Table,MATCH(C19,INDEX(Comm_Table,,1),0),4))*INDEX(Comm_Table,MATCH(C19,INDEX(Comm_Table,,1),0),5))),0)</f>
        <v>0</v>
      </c>
      <c r="AG19" s="59">
        <f>IFERROR(IF(INDEX(Comm_Table,MATCH(C19,INDEX(Comm_Table,,1),0),6)="Fixed",L19*INDEX(Comm_Table,MATCH(C19,INDEX(Comm_Table,,1),0),7),IF(INDEX(Comm_Table,MATCH(C19,INDEX(Comm_Table,,1),0),6)="Threshold",IF(L19&lt;=INDEX(Comm_Table,MATCH(C19,INDEX(Comm_Table,,1),0),8),L19*INDEX(Comm_Table,MATCH(C19,INDEX(Comm_Table,,1),0),7),L19*INDEX(Comm_Table,MATCH(C19,INDEX(Comm_Table,,1),0),9)),MIN(L19,INDEX(Comm_Table,MATCH(C19,INDEX(Comm_Table,,1),0),8))*INDEX(Comm_Table,MATCH(C19,INDEX(Comm_Table,,1),0),7)+MAX(0,L19-INDEX(Comm_Table,MATCH(C19,INDEX(Comm_Table,,1),0),8))*INDEX(Comm_Table,MATCH(C19,INDEX(Comm_Table,,1),0),9))),0)</f>
        <v>0</v>
      </c>
      <c r="AH19" s="60">
        <f t="shared" si="5"/>
        <v>0.02</v>
      </c>
      <c r="AI19" s="60">
        <f t="shared" si="6"/>
        <v>5</v>
      </c>
      <c r="AJ19" s="60">
        <f>AF19*UAE_VAT</f>
        <v>0</v>
      </c>
      <c r="AK19" s="60">
        <f t="shared" si="7"/>
        <v>0.75</v>
      </c>
      <c r="AL19" s="60">
        <f t="shared" si="8"/>
        <v>0</v>
      </c>
      <c r="AM19" s="60">
        <f t="shared" si="9"/>
        <v>0</v>
      </c>
      <c r="AN19" s="60">
        <f>(AI19+UAE_Restock)*N19</f>
        <v>0.25</v>
      </c>
      <c r="AO19" s="60">
        <f>D19+AH19+(AE19+AF19+AJ19+AI19+AK19+AM19+AN19)*UAE_Exch</f>
        <v>18.18</v>
      </c>
      <c r="AP19" s="61">
        <f t="shared" si="10"/>
        <v>0.02</v>
      </c>
      <c r="AQ19" s="61">
        <f>IFERROR(INDEX(FBP_Fees,MATCH(AA19,INDEX(FBP_Fees,,1),1),IF(FBP_DeliveryMode="Drop-off",2,3)),0)</f>
        <v>0</v>
      </c>
      <c r="AR19" s="61">
        <f t="shared" si="11"/>
        <v>10</v>
      </c>
      <c r="AS19" s="61">
        <f>AG19*UAE_VAT</f>
        <v>0</v>
      </c>
      <c r="AT19" s="61">
        <f t="shared" si="12"/>
        <v>0.75</v>
      </c>
      <c r="AU19" s="61">
        <f t="shared" si="13"/>
        <v>0</v>
      </c>
      <c r="AV19" s="61">
        <f>(AQ19+UAE_Restock)*N19</f>
        <v>0</v>
      </c>
      <c r="AW19" s="61">
        <f>D19+AP19+(AE19+AG19+AS19+AQ19+AT19+AU19+AV19)*UAE_Exch</f>
        <v>7.89</v>
      </c>
      <c r="AX19" s="62">
        <f t="shared" si="14"/>
        <v>6.5</v>
      </c>
      <c r="AY19" s="62">
        <f>IFERROR(INDEX(FBP_Fees,MATCH(AA19,INDEX(FBP_Fees,,1),1),IF(FBP_DeliveryMode="Drop-off",2,3)),0)</f>
        <v>0</v>
      </c>
      <c r="AZ19" s="62">
        <f t="shared" si="15"/>
        <v>10</v>
      </c>
      <c r="BA19" s="62">
        <f>AG19*UAE_VAT</f>
        <v>0</v>
      </c>
      <c r="BB19" s="62">
        <f t="shared" si="16"/>
        <v>0.75</v>
      </c>
      <c r="BC19" s="62">
        <f t="shared" si="17"/>
        <v>0</v>
      </c>
      <c r="BD19" s="62">
        <f>(AX19/UAE_Exch+AY19+UAE_Restock)*N19</f>
        <v>0.165816326530612</v>
      </c>
      <c r="BE19" s="62">
        <f>D19+AX19+(AE19+AG19+BA19+AY19+BB19+BC19+BD19)*UAE_Exch</f>
        <v>14.695</v>
      </c>
      <c r="BF19" s="63">
        <f>(L19/1.05/USD_AED)*USD_SAR</f>
        <v>14.5971195017517</v>
      </c>
      <c r="BG19" s="63">
        <f t="shared" si="18"/>
        <v>0.729855975087583</v>
      </c>
      <c r="BH19" s="63">
        <f>MAX(KSA_ClearanceFeeMin,MIN(KSA_ClearanceFeeMax,BF19*KSA_ClearanceFeeRate))</f>
        <v>15</v>
      </c>
      <c r="BI19" s="63">
        <f>(BF19+BG19)*KSA_VAT</f>
        <v>2.29904632152589</v>
      </c>
      <c r="BJ19" s="63">
        <f>(BF19+BG19+BH19)*(1+KSA_VAT)</f>
        <v>34.8760217983651</v>
      </c>
      <c r="BK19" s="63">
        <f>L19*CrossBorderFeeRate</f>
        <v>0.75</v>
      </c>
      <c r="BL19" s="63">
        <f t="shared" si="19"/>
        <v>0</v>
      </c>
      <c r="BM19" s="63">
        <f>BL19*UAE_VAT</f>
        <v>0</v>
      </c>
      <c r="BN19" s="63">
        <f t="shared" si="20"/>
        <v>0.75</v>
      </c>
      <c r="BO19" s="63">
        <f t="shared" si="21"/>
        <v>0</v>
      </c>
      <c r="BP19" s="63">
        <f t="shared" si="22"/>
        <v>0.901445114830673</v>
      </c>
      <c r="BQ19" s="63">
        <f>D19+AH19+(BK19+BL19+BM19+BN19+BO19+AI19)*UAE_Exch+(BP19)*KSA_Exch</f>
        <v>19.4907746204749</v>
      </c>
    </row>
    <row r="20" spans="1:69">
      <c r="A20" s="50"/>
      <c r="B20" s="50"/>
      <c r="C20" s="50"/>
      <c r="D20" s="51">
        <v>5</v>
      </c>
      <c r="E20" s="52">
        <v>800</v>
      </c>
      <c r="F20" s="52">
        <v>45</v>
      </c>
      <c r="G20" s="52">
        <v>2</v>
      </c>
      <c r="H20" s="52">
        <v>5</v>
      </c>
      <c r="I20" s="52">
        <v>5</v>
      </c>
      <c r="J20" s="52">
        <v>1</v>
      </c>
      <c r="K20" s="52">
        <v>0.01</v>
      </c>
      <c r="L20" s="52">
        <v>15</v>
      </c>
      <c r="M20" s="53">
        <v>0.05</v>
      </c>
      <c r="N20" s="53">
        <v>0.05</v>
      </c>
      <c r="O20" s="54">
        <f>L20*UAE_Exch-AO20</f>
        <v>11.22</v>
      </c>
      <c r="P20" s="55">
        <f>IF(L20&gt;0,O20/(L20*UAE_Exch),0)</f>
        <v>0.381632653061224</v>
      </c>
      <c r="Q20" s="54">
        <f>(L20+AR20)*UAE_Exch-AW20</f>
        <v>41.11</v>
      </c>
      <c r="R20" s="55">
        <f>IF(L20&gt;0,Q20/(L20*UAE_Exch),0)</f>
        <v>1.39829931972789</v>
      </c>
      <c r="S20" s="54">
        <f>(L20+AZ20)*UAE_Exch-BE20</f>
        <v>34.305</v>
      </c>
      <c r="T20" s="55">
        <f>IF(L20&gt;0,S20/(L20*UAE_Exch),0)</f>
        <v>1.16683673469388</v>
      </c>
      <c r="U20" s="54">
        <f>BF20*KSA_Exch-BQ20</f>
        <v>8.53569482288828</v>
      </c>
      <c r="V20" s="55">
        <f>IF(BF20&gt;0,U20/(BF20*KSA_Exch),0)</f>
        <v>0.304558333333333</v>
      </c>
      <c r="W20" s="56" t="str">
        <f t="shared" si="0"/>
        <v>海外仓FBP</v>
      </c>
      <c r="X20" s="54">
        <f t="shared" si="1"/>
        <v>41.11</v>
      </c>
      <c r="Y20" s="57">
        <f>GCC_DefaultDuty</f>
        <v>0.05</v>
      </c>
      <c r="Z20" s="58">
        <f t="shared" si="2"/>
        <v>0.005</v>
      </c>
      <c r="AA20" s="58">
        <f t="shared" si="3"/>
        <v>0.01</v>
      </c>
      <c r="AB20" s="58" t="str">
        <f t="shared" si="4"/>
        <v>Small Envelope</v>
      </c>
      <c r="AC20" s="58">
        <f>IFERROR(VLOOKUP(AB20,FBN_SizeTiers,5,FALSE),0)</f>
        <v>0.02</v>
      </c>
      <c r="AD20" s="58">
        <f>IFERROR(MIN(MAX(K20,Z20)+AC20,VLOOKUP(AB20,FBN_SizeTiers,6,FALSE)),0)</f>
        <v>0.03</v>
      </c>
      <c r="AE20" s="59">
        <f>L20/(1+UAE_VAT)*UAE_VAT</f>
        <v>0.714285714285714</v>
      </c>
      <c r="AF20" s="59">
        <f>IFERROR(IF(INDEX(Comm_Table,MATCH(C20,INDEX(Comm_Table,,1),0),2)="Fixed",L20*INDEX(Comm_Table,MATCH(C20,INDEX(Comm_Table,,1),0),3),IF(INDEX(Comm_Table,MATCH(C20,INDEX(Comm_Table,,1),0),2)="Threshold",IF(L20&lt;=INDEX(Comm_Table,MATCH(C20,INDEX(Comm_Table,,1),0),4),L20*INDEX(Comm_Table,MATCH(C20,INDEX(Comm_Table,,1),0),3),L20*INDEX(Comm_Table,MATCH(C20,INDEX(Comm_Table,,1),0),5)),MIN(L20,INDEX(Comm_Table,MATCH(C20,INDEX(Comm_Table,,1),0),4))*INDEX(Comm_Table,MATCH(C20,INDEX(Comm_Table,,1),0),3)+MAX(0,L20-INDEX(Comm_Table,MATCH(C20,INDEX(Comm_Table,,1),0),4))*INDEX(Comm_Table,MATCH(C20,INDEX(Comm_Table,,1),0),5))),0)</f>
        <v>0</v>
      </c>
      <c r="AG20" s="59">
        <f>IFERROR(IF(INDEX(Comm_Table,MATCH(C20,INDEX(Comm_Table,,1),0),6)="Fixed",L20*INDEX(Comm_Table,MATCH(C20,INDEX(Comm_Table,,1),0),7),IF(INDEX(Comm_Table,MATCH(C20,INDEX(Comm_Table,,1),0),6)="Threshold",IF(L20&lt;=INDEX(Comm_Table,MATCH(C20,INDEX(Comm_Table,,1),0),8),L20*INDEX(Comm_Table,MATCH(C20,INDEX(Comm_Table,,1),0),7),L20*INDEX(Comm_Table,MATCH(C20,INDEX(Comm_Table,,1),0),9)),MIN(L20,INDEX(Comm_Table,MATCH(C20,INDEX(Comm_Table,,1),0),8))*INDEX(Comm_Table,MATCH(C20,INDEX(Comm_Table,,1),0),7)+MAX(0,L20-INDEX(Comm_Table,MATCH(C20,INDEX(Comm_Table,,1),0),8))*INDEX(Comm_Table,MATCH(C20,INDEX(Comm_Table,,1),0),9))),0)</f>
        <v>0</v>
      </c>
      <c r="AH20" s="60">
        <f t="shared" si="5"/>
        <v>0.02</v>
      </c>
      <c r="AI20" s="60">
        <f t="shared" si="6"/>
        <v>5</v>
      </c>
      <c r="AJ20" s="60">
        <f>AF20*UAE_VAT</f>
        <v>0</v>
      </c>
      <c r="AK20" s="60">
        <f t="shared" si="7"/>
        <v>0.75</v>
      </c>
      <c r="AL20" s="60">
        <f t="shared" si="8"/>
        <v>0</v>
      </c>
      <c r="AM20" s="60">
        <f t="shared" si="9"/>
        <v>0</v>
      </c>
      <c r="AN20" s="60">
        <f>(AI20+UAE_Restock)*N20</f>
        <v>0.25</v>
      </c>
      <c r="AO20" s="60">
        <f>D20+AH20+(AE20+AF20+AJ20+AI20+AK20+AM20+AN20)*UAE_Exch</f>
        <v>18.18</v>
      </c>
      <c r="AP20" s="61">
        <f t="shared" si="10"/>
        <v>0.02</v>
      </c>
      <c r="AQ20" s="61">
        <f>IFERROR(INDEX(FBP_Fees,MATCH(AA20,INDEX(FBP_Fees,,1),1),IF(FBP_DeliveryMode="Drop-off",2,3)),0)</f>
        <v>0</v>
      </c>
      <c r="AR20" s="61">
        <f t="shared" si="11"/>
        <v>10</v>
      </c>
      <c r="AS20" s="61">
        <f>AG20*UAE_VAT</f>
        <v>0</v>
      </c>
      <c r="AT20" s="61">
        <f t="shared" si="12"/>
        <v>0.75</v>
      </c>
      <c r="AU20" s="61">
        <f t="shared" si="13"/>
        <v>0</v>
      </c>
      <c r="AV20" s="61">
        <f>(AQ20+UAE_Restock)*N20</f>
        <v>0</v>
      </c>
      <c r="AW20" s="61">
        <f>D20+AP20+(AE20+AG20+AS20+AQ20+AT20+AU20+AV20)*UAE_Exch</f>
        <v>7.89</v>
      </c>
      <c r="AX20" s="62">
        <f t="shared" si="14"/>
        <v>6.5</v>
      </c>
      <c r="AY20" s="62">
        <f>IFERROR(INDEX(FBP_Fees,MATCH(AA20,INDEX(FBP_Fees,,1),1),IF(FBP_DeliveryMode="Drop-off",2,3)),0)</f>
        <v>0</v>
      </c>
      <c r="AZ20" s="62">
        <f t="shared" si="15"/>
        <v>10</v>
      </c>
      <c r="BA20" s="62">
        <f>AG20*UAE_VAT</f>
        <v>0</v>
      </c>
      <c r="BB20" s="62">
        <f t="shared" si="16"/>
        <v>0.75</v>
      </c>
      <c r="BC20" s="62">
        <f t="shared" si="17"/>
        <v>0</v>
      </c>
      <c r="BD20" s="62">
        <f>(AX20/UAE_Exch+AY20+UAE_Restock)*N20</f>
        <v>0.165816326530612</v>
      </c>
      <c r="BE20" s="62">
        <f>D20+AX20+(AE20+AG20+BA20+AY20+BB20+BC20+BD20)*UAE_Exch</f>
        <v>14.695</v>
      </c>
      <c r="BF20" s="63">
        <f>(L20/1.05/USD_AED)*USD_SAR</f>
        <v>14.5971195017517</v>
      </c>
      <c r="BG20" s="63">
        <f t="shared" si="18"/>
        <v>0.729855975087583</v>
      </c>
      <c r="BH20" s="63">
        <f>MAX(KSA_ClearanceFeeMin,MIN(KSA_ClearanceFeeMax,BF20*KSA_ClearanceFeeRate))</f>
        <v>15</v>
      </c>
      <c r="BI20" s="63">
        <f>(BF20+BG20)*KSA_VAT</f>
        <v>2.29904632152589</v>
      </c>
      <c r="BJ20" s="63">
        <f>(BF20+BG20+BH20)*(1+KSA_VAT)</f>
        <v>34.8760217983651</v>
      </c>
      <c r="BK20" s="63">
        <f>L20*CrossBorderFeeRate</f>
        <v>0.75</v>
      </c>
      <c r="BL20" s="63">
        <f t="shared" si="19"/>
        <v>0</v>
      </c>
      <c r="BM20" s="63">
        <f>BL20*UAE_VAT</f>
        <v>0</v>
      </c>
      <c r="BN20" s="63">
        <f t="shared" si="20"/>
        <v>0.75</v>
      </c>
      <c r="BO20" s="63">
        <f t="shared" si="21"/>
        <v>0</v>
      </c>
      <c r="BP20" s="63">
        <f t="shared" si="22"/>
        <v>0.901445114830673</v>
      </c>
      <c r="BQ20" s="63">
        <f>D20+AH20+(BK20+BL20+BM20+BN20+BO20+AI20)*UAE_Exch+(BP20)*KSA_Exch</f>
        <v>19.4907746204749</v>
      </c>
    </row>
    <row r="21" spans="1:69">
      <c r="A21" s="50"/>
      <c r="B21" s="50"/>
      <c r="C21" s="50"/>
      <c r="D21" s="51">
        <v>5</v>
      </c>
      <c r="E21" s="52">
        <v>800</v>
      </c>
      <c r="F21" s="52">
        <v>45</v>
      </c>
      <c r="G21" s="52">
        <v>2</v>
      </c>
      <c r="H21" s="52">
        <v>5</v>
      </c>
      <c r="I21" s="52">
        <v>5</v>
      </c>
      <c r="J21" s="52">
        <v>1</v>
      </c>
      <c r="K21" s="52">
        <v>0.01</v>
      </c>
      <c r="L21" s="52">
        <v>15</v>
      </c>
      <c r="M21" s="53">
        <v>0.05</v>
      </c>
      <c r="N21" s="53">
        <v>0.05</v>
      </c>
      <c r="O21" s="54">
        <f>L21*UAE_Exch-AO21</f>
        <v>11.22</v>
      </c>
      <c r="P21" s="55">
        <f>IF(L21&gt;0,O21/(L21*UAE_Exch),0)</f>
        <v>0.381632653061224</v>
      </c>
      <c r="Q21" s="54">
        <f>(L21+AR21)*UAE_Exch-AW21</f>
        <v>41.11</v>
      </c>
      <c r="R21" s="55">
        <f>IF(L21&gt;0,Q21/(L21*UAE_Exch),0)</f>
        <v>1.39829931972789</v>
      </c>
      <c r="S21" s="54">
        <f>(L21+AZ21)*UAE_Exch-BE21</f>
        <v>34.305</v>
      </c>
      <c r="T21" s="55">
        <f>IF(L21&gt;0,S21/(L21*UAE_Exch),0)</f>
        <v>1.16683673469388</v>
      </c>
      <c r="U21" s="54">
        <f>BF21*KSA_Exch-BQ21</f>
        <v>8.53569482288828</v>
      </c>
      <c r="V21" s="55">
        <f>IF(BF21&gt;0,U21/(BF21*KSA_Exch),0)</f>
        <v>0.304558333333333</v>
      </c>
      <c r="W21" s="56" t="str">
        <f t="shared" si="0"/>
        <v>海外仓FBP</v>
      </c>
      <c r="X21" s="54">
        <f t="shared" si="1"/>
        <v>41.11</v>
      </c>
      <c r="Y21" s="57">
        <f>GCC_DefaultDuty</f>
        <v>0.05</v>
      </c>
      <c r="Z21" s="58">
        <f t="shared" si="2"/>
        <v>0.005</v>
      </c>
      <c r="AA21" s="58">
        <f t="shared" si="3"/>
        <v>0.01</v>
      </c>
      <c r="AB21" s="58" t="str">
        <f t="shared" si="4"/>
        <v>Small Envelope</v>
      </c>
      <c r="AC21" s="58">
        <f>IFERROR(VLOOKUP(AB21,FBN_SizeTiers,5,FALSE),0)</f>
        <v>0.02</v>
      </c>
      <c r="AD21" s="58">
        <f>IFERROR(MIN(MAX(K21,Z21)+AC21,VLOOKUP(AB21,FBN_SizeTiers,6,FALSE)),0)</f>
        <v>0.03</v>
      </c>
      <c r="AE21" s="59">
        <f>L21/(1+UAE_VAT)*UAE_VAT</f>
        <v>0.714285714285714</v>
      </c>
      <c r="AF21" s="59">
        <f>IFERROR(IF(INDEX(Comm_Table,MATCH(C21,INDEX(Comm_Table,,1),0),2)="Fixed",L21*INDEX(Comm_Table,MATCH(C21,INDEX(Comm_Table,,1),0),3),IF(INDEX(Comm_Table,MATCH(C21,INDEX(Comm_Table,,1),0),2)="Threshold",IF(L21&lt;=INDEX(Comm_Table,MATCH(C21,INDEX(Comm_Table,,1),0),4),L21*INDEX(Comm_Table,MATCH(C21,INDEX(Comm_Table,,1),0),3),L21*INDEX(Comm_Table,MATCH(C21,INDEX(Comm_Table,,1),0),5)),MIN(L21,INDEX(Comm_Table,MATCH(C21,INDEX(Comm_Table,,1),0),4))*INDEX(Comm_Table,MATCH(C21,INDEX(Comm_Table,,1),0),3)+MAX(0,L21-INDEX(Comm_Table,MATCH(C21,INDEX(Comm_Table,,1),0),4))*INDEX(Comm_Table,MATCH(C21,INDEX(Comm_Table,,1),0),5))),0)</f>
        <v>0</v>
      </c>
      <c r="AG21" s="59">
        <f>IFERROR(IF(INDEX(Comm_Table,MATCH(C21,INDEX(Comm_Table,,1),0),6)="Fixed",L21*INDEX(Comm_Table,MATCH(C21,INDEX(Comm_Table,,1),0),7),IF(INDEX(Comm_Table,MATCH(C21,INDEX(Comm_Table,,1),0),6)="Threshold",IF(L21&lt;=INDEX(Comm_Table,MATCH(C21,INDEX(Comm_Table,,1),0),8),L21*INDEX(Comm_Table,MATCH(C21,INDEX(Comm_Table,,1),0),7),L21*INDEX(Comm_Table,MATCH(C21,INDEX(Comm_Table,,1),0),9)),MIN(L21,INDEX(Comm_Table,MATCH(C21,INDEX(Comm_Table,,1),0),8))*INDEX(Comm_Table,MATCH(C21,INDEX(Comm_Table,,1),0),7)+MAX(0,L21-INDEX(Comm_Table,MATCH(C21,INDEX(Comm_Table,,1),0),8))*INDEX(Comm_Table,MATCH(C21,INDEX(Comm_Table,,1),0),9))),0)</f>
        <v>0</v>
      </c>
      <c r="AH21" s="60">
        <f t="shared" si="5"/>
        <v>0.02</v>
      </c>
      <c r="AI21" s="60">
        <f t="shared" si="6"/>
        <v>5</v>
      </c>
      <c r="AJ21" s="60">
        <f>AF21*UAE_VAT</f>
        <v>0</v>
      </c>
      <c r="AK21" s="60">
        <f t="shared" si="7"/>
        <v>0.75</v>
      </c>
      <c r="AL21" s="60">
        <f t="shared" si="8"/>
        <v>0</v>
      </c>
      <c r="AM21" s="60">
        <f t="shared" si="9"/>
        <v>0</v>
      </c>
      <c r="AN21" s="60">
        <f>(AI21+UAE_Restock)*N21</f>
        <v>0.25</v>
      </c>
      <c r="AO21" s="60">
        <f>D21+AH21+(AE21+AF21+AJ21+AI21+AK21+AM21+AN21)*UAE_Exch</f>
        <v>18.18</v>
      </c>
      <c r="AP21" s="61">
        <f t="shared" si="10"/>
        <v>0.02</v>
      </c>
      <c r="AQ21" s="61">
        <f>IFERROR(INDEX(FBP_Fees,MATCH(AA21,INDEX(FBP_Fees,,1),1),IF(FBP_DeliveryMode="Drop-off",2,3)),0)</f>
        <v>0</v>
      </c>
      <c r="AR21" s="61">
        <f t="shared" si="11"/>
        <v>10</v>
      </c>
      <c r="AS21" s="61">
        <f>AG21*UAE_VAT</f>
        <v>0</v>
      </c>
      <c r="AT21" s="61">
        <f t="shared" si="12"/>
        <v>0.75</v>
      </c>
      <c r="AU21" s="61">
        <f t="shared" si="13"/>
        <v>0</v>
      </c>
      <c r="AV21" s="61">
        <f>(AQ21+UAE_Restock)*N21</f>
        <v>0</v>
      </c>
      <c r="AW21" s="61">
        <f>D21+AP21+(AE21+AG21+AS21+AQ21+AT21+AU21+AV21)*UAE_Exch</f>
        <v>7.89</v>
      </c>
      <c r="AX21" s="62">
        <f t="shared" si="14"/>
        <v>6.5</v>
      </c>
      <c r="AY21" s="62">
        <f>IFERROR(INDEX(FBP_Fees,MATCH(AA21,INDEX(FBP_Fees,,1),1),IF(FBP_DeliveryMode="Drop-off",2,3)),0)</f>
        <v>0</v>
      </c>
      <c r="AZ21" s="62">
        <f t="shared" si="15"/>
        <v>10</v>
      </c>
      <c r="BA21" s="62">
        <f>AG21*UAE_VAT</f>
        <v>0</v>
      </c>
      <c r="BB21" s="62">
        <f t="shared" si="16"/>
        <v>0.75</v>
      </c>
      <c r="BC21" s="62">
        <f t="shared" si="17"/>
        <v>0</v>
      </c>
      <c r="BD21" s="62">
        <f>(AX21/UAE_Exch+AY21+UAE_Restock)*N21</f>
        <v>0.165816326530612</v>
      </c>
      <c r="BE21" s="62">
        <f>D21+AX21+(AE21+AG21+BA21+AY21+BB21+BC21+BD21)*UAE_Exch</f>
        <v>14.695</v>
      </c>
      <c r="BF21" s="63">
        <f>(L21/1.05/USD_AED)*USD_SAR</f>
        <v>14.5971195017517</v>
      </c>
      <c r="BG21" s="63">
        <f t="shared" si="18"/>
        <v>0.729855975087583</v>
      </c>
      <c r="BH21" s="63">
        <f>MAX(KSA_ClearanceFeeMin,MIN(KSA_ClearanceFeeMax,BF21*KSA_ClearanceFeeRate))</f>
        <v>15</v>
      </c>
      <c r="BI21" s="63">
        <f>(BF21+BG21)*KSA_VAT</f>
        <v>2.29904632152589</v>
      </c>
      <c r="BJ21" s="63">
        <f>(BF21+BG21+BH21)*(1+KSA_VAT)</f>
        <v>34.8760217983651</v>
      </c>
      <c r="BK21" s="63">
        <f>L21*CrossBorderFeeRate</f>
        <v>0.75</v>
      </c>
      <c r="BL21" s="63">
        <f t="shared" si="19"/>
        <v>0</v>
      </c>
      <c r="BM21" s="63">
        <f>BL21*UAE_VAT</f>
        <v>0</v>
      </c>
      <c r="BN21" s="63">
        <f t="shared" si="20"/>
        <v>0.75</v>
      </c>
      <c r="BO21" s="63">
        <f t="shared" si="21"/>
        <v>0</v>
      </c>
      <c r="BP21" s="63">
        <f t="shared" si="22"/>
        <v>0.901445114830673</v>
      </c>
      <c r="BQ21" s="63">
        <f>D21+AH21+(BK21+BL21+BM21+BN21+BO21+AI21)*UAE_Exch+(BP21)*KSA_Exch</f>
        <v>19.4907746204749</v>
      </c>
    </row>
    <row r="22" spans="1:69">
      <c r="A22" s="50"/>
      <c r="B22" s="50"/>
      <c r="C22" s="50"/>
      <c r="D22" s="51">
        <v>5</v>
      </c>
      <c r="E22" s="52">
        <v>800</v>
      </c>
      <c r="F22" s="52">
        <v>45</v>
      </c>
      <c r="G22" s="52">
        <v>2</v>
      </c>
      <c r="H22" s="52">
        <v>5</v>
      </c>
      <c r="I22" s="52">
        <v>5</v>
      </c>
      <c r="J22" s="52">
        <v>1</v>
      </c>
      <c r="K22" s="52">
        <v>0.01</v>
      </c>
      <c r="L22" s="52">
        <v>15</v>
      </c>
      <c r="M22" s="53">
        <v>0.05</v>
      </c>
      <c r="N22" s="53">
        <v>0.05</v>
      </c>
      <c r="O22" s="54">
        <f>L22*UAE_Exch-AO22</f>
        <v>11.22</v>
      </c>
      <c r="P22" s="55">
        <f>IF(L22&gt;0,O22/(L22*UAE_Exch),0)</f>
        <v>0.381632653061224</v>
      </c>
      <c r="Q22" s="54">
        <f>(L22+AR22)*UAE_Exch-AW22</f>
        <v>41.11</v>
      </c>
      <c r="R22" s="55">
        <f>IF(L22&gt;0,Q22/(L22*UAE_Exch),0)</f>
        <v>1.39829931972789</v>
      </c>
      <c r="S22" s="54">
        <f>(L22+AZ22)*UAE_Exch-BE22</f>
        <v>34.305</v>
      </c>
      <c r="T22" s="55">
        <f>IF(L22&gt;0,S22/(L22*UAE_Exch),0)</f>
        <v>1.16683673469388</v>
      </c>
      <c r="U22" s="54">
        <f>BF22*KSA_Exch-BQ22</f>
        <v>8.53569482288828</v>
      </c>
      <c r="V22" s="55">
        <f>IF(BF22&gt;0,U22/(BF22*KSA_Exch),0)</f>
        <v>0.304558333333333</v>
      </c>
      <c r="W22" s="56" t="str">
        <f t="shared" si="0"/>
        <v>海外仓FBP</v>
      </c>
      <c r="X22" s="54">
        <f t="shared" si="1"/>
        <v>41.11</v>
      </c>
      <c r="Y22" s="57">
        <f>GCC_DefaultDuty</f>
        <v>0.05</v>
      </c>
      <c r="Z22" s="58">
        <f t="shared" si="2"/>
        <v>0.005</v>
      </c>
      <c r="AA22" s="58">
        <f t="shared" si="3"/>
        <v>0.01</v>
      </c>
      <c r="AB22" s="58" t="str">
        <f t="shared" si="4"/>
        <v>Small Envelope</v>
      </c>
      <c r="AC22" s="58">
        <f>IFERROR(VLOOKUP(AB22,FBN_SizeTiers,5,FALSE),0)</f>
        <v>0.02</v>
      </c>
      <c r="AD22" s="58">
        <f>IFERROR(MIN(MAX(K22,Z22)+AC22,VLOOKUP(AB22,FBN_SizeTiers,6,FALSE)),0)</f>
        <v>0.03</v>
      </c>
      <c r="AE22" s="59">
        <f>L22/(1+UAE_VAT)*UAE_VAT</f>
        <v>0.714285714285714</v>
      </c>
      <c r="AF22" s="59">
        <f>IFERROR(IF(INDEX(Comm_Table,MATCH(C22,INDEX(Comm_Table,,1),0),2)="Fixed",L22*INDEX(Comm_Table,MATCH(C22,INDEX(Comm_Table,,1),0),3),IF(INDEX(Comm_Table,MATCH(C22,INDEX(Comm_Table,,1),0),2)="Threshold",IF(L22&lt;=INDEX(Comm_Table,MATCH(C22,INDEX(Comm_Table,,1),0),4),L22*INDEX(Comm_Table,MATCH(C22,INDEX(Comm_Table,,1),0),3),L22*INDEX(Comm_Table,MATCH(C22,INDEX(Comm_Table,,1),0),5)),MIN(L22,INDEX(Comm_Table,MATCH(C22,INDEX(Comm_Table,,1),0),4))*INDEX(Comm_Table,MATCH(C22,INDEX(Comm_Table,,1),0),3)+MAX(0,L22-INDEX(Comm_Table,MATCH(C22,INDEX(Comm_Table,,1),0),4))*INDEX(Comm_Table,MATCH(C22,INDEX(Comm_Table,,1),0),5))),0)</f>
        <v>0</v>
      </c>
      <c r="AG22" s="59">
        <f>IFERROR(IF(INDEX(Comm_Table,MATCH(C22,INDEX(Comm_Table,,1),0),6)="Fixed",L22*INDEX(Comm_Table,MATCH(C22,INDEX(Comm_Table,,1),0),7),IF(INDEX(Comm_Table,MATCH(C22,INDEX(Comm_Table,,1),0),6)="Threshold",IF(L22&lt;=INDEX(Comm_Table,MATCH(C22,INDEX(Comm_Table,,1),0),8),L22*INDEX(Comm_Table,MATCH(C22,INDEX(Comm_Table,,1),0),7),L22*INDEX(Comm_Table,MATCH(C22,INDEX(Comm_Table,,1),0),9)),MIN(L22,INDEX(Comm_Table,MATCH(C22,INDEX(Comm_Table,,1),0),8))*INDEX(Comm_Table,MATCH(C22,INDEX(Comm_Table,,1),0),7)+MAX(0,L22-INDEX(Comm_Table,MATCH(C22,INDEX(Comm_Table,,1),0),8))*INDEX(Comm_Table,MATCH(C22,INDEX(Comm_Table,,1),0),9))),0)</f>
        <v>0</v>
      </c>
      <c r="AH22" s="60">
        <f t="shared" si="5"/>
        <v>0.02</v>
      </c>
      <c r="AI22" s="60">
        <f t="shared" si="6"/>
        <v>5</v>
      </c>
      <c r="AJ22" s="60">
        <f>AF22*UAE_VAT</f>
        <v>0</v>
      </c>
      <c r="AK22" s="60">
        <f t="shared" si="7"/>
        <v>0.75</v>
      </c>
      <c r="AL22" s="60">
        <f t="shared" si="8"/>
        <v>0</v>
      </c>
      <c r="AM22" s="60">
        <f t="shared" si="9"/>
        <v>0</v>
      </c>
      <c r="AN22" s="60">
        <f>(AI22+UAE_Restock)*N22</f>
        <v>0.25</v>
      </c>
      <c r="AO22" s="60">
        <f>D22+AH22+(AE22+AF22+AJ22+AI22+AK22+AM22+AN22)*UAE_Exch</f>
        <v>18.18</v>
      </c>
      <c r="AP22" s="61">
        <f t="shared" si="10"/>
        <v>0.02</v>
      </c>
      <c r="AQ22" s="61">
        <f>IFERROR(INDEX(FBP_Fees,MATCH(AA22,INDEX(FBP_Fees,,1),1),IF(FBP_DeliveryMode="Drop-off",2,3)),0)</f>
        <v>0</v>
      </c>
      <c r="AR22" s="61">
        <f t="shared" si="11"/>
        <v>10</v>
      </c>
      <c r="AS22" s="61">
        <f>AG22*UAE_VAT</f>
        <v>0</v>
      </c>
      <c r="AT22" s="61">
        <f t="shared" si="12"/>
        <v>0.75</v>
      </c>
      <c r="AU22" s="61">
        <f t="shared" si="13"/>
        <v>0</v>
      </c>
      <c r="AV22" s="61">
        <f>(AQ22+UAE_Restock)*N22</f>
        <v>0</v>
      </c>
      <c r="AW22" s="61">
        <f>D22+AP22+(AE22+AG22+AS22+AQ22+AT22+AU22+AV22)*UAE_Exch</f>
        <v>7.89</v>
      </c>
      <c r="AX22" s="62">
        <f t="shared" si="14"/>
        <v>6.5</v>
      </c>
      <c r="AY22" s="62">
        <f>IFERROR(INDEX(FBP_Fees,MATCH(AA22,INDEX(FBP_Fees,,1),1),IF(FBP_DeliveryMode="Drop-off",2,3)),0)</f>
        <v>0</v>
      </c>
      <c r="AZ22" s="62">
        <f t="shared" si="15"/>
        <v>10</v>
      </c>
      <c r="BA22" s="62">
        <f>AG22*UAE_VAT</f>
        <v>0</v>
      </c>
      <c r="BB22" s="62">
        <f t="shared" si="16"/>
        <v>0.75</v>
      </c>
      <c r="BC22" s="62">
        <f t="shared" si="17"/>
        <v>0</v>
      </c>
      <c r="BD22" s="62">
        <f>(AX22/UAE_Exch+AY22+UAE_Restock)*N22</f>
        <v>0.165816326530612</v>
      </c>
      <c r="BE22" s="62">
        <f>D22+AX22+(AE22+AG22+BA22+AY22+BB22+BC22+BD22)*UAE_Exch</f>
        <v>14.695</v>
      </c>
      <c r="BF22" s="63">
        <f>(L22/1.05/USD_AED)*USD_SAR</f>
        <v>14.5971195017517</v>
      </c>
      <c r="BG22" s="63">
        <f t="shared" si="18"/>
        <v>0.729855975087583</v>
      </c>
      <c r="BH22" s="63">
        <f>MAX(KSA_ClearanceFeeMin,MIN(KSA_ClearanceFeeMax,BF22*KSA_ClearanceFeeRate))</f>
        <v>15</v>
      </c>
      <c r="BI22" s="63">
        <f>(BF22+BG22)*KSA_VAT</f>
        <v>2.29904632152589</v>
      </c>
      <c r="BJ22" s="63">
        <f>(BF22+BG22+BH22)*(1+KSA_VAT)</f>
        <v>34.8760217983651</v>
      </c>
      <c r="BK22" s="63">
        <f>L22*CrossBorderFeeRate</f>
        <v>0.75</v>
      </c>
      <c r="BL22" s="63">
        <f t="shared" si="19"/>
        <v>0</v>
      </c>
      <c r="BM22" s="63">
        <f>BL22*UAE_VAT</f>
        <v>0</v>
      </c>
      <c r="BN22" s="63">
        <f t="shared" si="20"/>
        <v>0.75</v>
      </c>
      <c r="BO22" s="63">
        <f t="shared" si="21"/>
        <v>0</v>
      </c>
      <c r="BP22" s="63">
        <f t="shared" si="22"/>
        <v>0.901445114830673</v>
      </c>
      <c r="BQ22" s="63">
        <f>D22+AH22+(BK22+BL22+BM22+BN22+BO22+AI22)*UAE_Exch+(BP22)*KSA_Exch</f>
        <v>19.4907746204749</v>
      </c>
    </row>
  </sheetData>
  <mergeCells count="7">
    <mergeCell ref="A1:N1"/>
    <mergeCell ref="O1:X1"/>
    <mergeCell ref="Y1:AG1"/>
    <mergeCell ref="AH1:AO1"/>
    <mergeCell ref="AP1:AW1"/>
    <mergeCell ref="AX1:BE1"/>
    <mergeCell ref="BF1:BQ1"/>
  </mergeCells>
  <conditionalFormatting sqref="O3:O22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P3:P22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Q3:Q22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R3:R22"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S3:S22">
    <cfRule type="cellIs" dxfId="0" priority="9" operator="greaterThan">
      <formula>0</formula>
    </cfRule>
    <cfRule type="cellIs" dxfId="1" priority="10" operator="lessThan">
      <formula>0</formula>
    </cfRule>
  </conditionalFormatting>
  <conditionalFormatting sqref="T3:T22">
    <cfRule type="cellIs" dxfId="0" priority="11" operator="greaterThan">
      <formula>0</formula>
    </cfRule>
    <cfRule type="cellIs" dxfId="1" priority="12" operator="lessThan">
      <formula>0</formula>
    </cfRule>
  </conditionalFormatting>
  <conditionalFormatting sqref="U3:U22">
    <cfRule type="cellIs" dxfId="0" priority="13" operator="greaterThan">
      <formula>0</formula>
    </cfRule>
    <cfRule type="cellIs" dxfId="1" priority="14" operator="lessThan">
      <formula>0</formula>
    </cfRule>
  </conditionalFormatting>
  <conditionalFormatting sqref="V3:V22">
    <cfRule type="cellIs" dxfId="0" priority="15" operator="greaterThan">
      <formula>0</formula>
    </cfRule>
    <cfRule type="cellIs" dxfId="1" priority="16" operator="lessThan">
      <formula>0</formula>
    </cfRule>
  </conditionalFormatting>
  <conditionalFormatting sqref="X3:X22">
    <cfRule type="cellIs" dxfId="0" priority="17" operator="greaterThan">
      <formula>0</formula>
    </cfRule>
    <cfRule type="cellIs" dxfId="1" priority="18" operator="lessThan">
      <formula>0</formula>
    </cfRule>
  </conditionalFormatting>
  <dataValidations count="1">
    <dataValidation type="list" allowBlank="1" error="请从佣金表中选择类目" sqref="C3:C22">
      <formula1>Config!$A$24:$A$81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2"/>
  <sheetViews>
    <sheetView zoomScale="137" zoomScaleNormal="137" workbookViewId="0">
      <pane xSplit="12" topLeftCell="M1" activePane="topRight" state="frozen"/>
      <selection/>
      <selection pane="topRight" activeCell="A2" sqref="A$1:A$1048576"/>
    </sheetView>
  </sheetViews>
  <sheetFormatPr defaultColWidth="9" defaultRowHeight="16.8"/>
  <cols>
    <col min="1" max="1" width="10" style="2" customWidth="1"/>
    <col min="2" max="2" width="14" style="2" customWidth="1"/>
    <col min="3" max="3" width="28" style="2" customWidth="1"/>
    <col min="4" max="4" width="12" style="2" customWidth="1"/>
    <col min="5" max="5" width="16" style="2" customWidth="1"/>
    <col min="6" max="6" width="14" style="2" customWidth="1"/>
    <col min="7" max="7" width="16" style="2" customWidth="1"/>
    <col min="8" max="11" width="8" style="2" customWidth="1"/>
    <col min="12" max="14" width="12" style="2" customWidth="1"/>
    <col min="15" max="69" width="14" style="2" customWidth="1"/>
  </cols>
  <sheetData>
    <row r="1" s="1" customFormat="1" ht="17.6" spans="1:69">
      <c r="A1" s="3" t="s">
        <v>253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 t="s">
        <v>254</v>
      </c>
      <c r="P1" s="4"/>
      <c r="Q1" s="4"/>
      <c r="R1" s="4"/>
      <c r="S1" s="4"/>
      <c r="T1" s="4"/>
      <c r="U1" s="4"/>
      <c r="V1" s="4"/>
      <c r="W1" s="4"/>
      <c r="X1" s="4"/>
      <c r="Y1" s="6" t="s">
        <v>255</v>
      </c>
      <c r="Z1" s="4"/>
      <c r="AA1" s="4"/>
      <c r="AB1" s="4"/>
      <c r="AC1" s="4"/>
      <c r="AD1" s="4"/>
      <c r="AE1" s="4"/>
      <c r="AF1" s="4"/>
      <c r="AG1" s="4"/>
      <c r="AH1" s="7" t="s">
        <v>256</v>
      </c>
      <c r="AI1" s="4"/>
      <c r="AJ1" s="4"/>
      <c r="AK1" s="4"/>
      <c r="AL1" s="4"/>
      <c r="AM1" s="4"/>
      <c r="AN1" s="4"/>
      <c r="AO1" s="4"/>
      <c r="AP1" s="8" t="s">
        <v>257</v>
      </c>
      <c r="AQ1" s="4"/>
      <c r="AR1" s="4"/>
      <c r="AS1" s="4"/>
      <c r="AT1" s="4"/>
      <c r="AU1" s="4"/>
      <c r="AV1" s="4"/>
      <c r="AW1" s="4"/>
      <c r="AX1" s="9" t="s">
        <v>258</v>
      </c>
      <c r="AY1" s="4"/>
      <c r="AZ1" s="4"/>
      <c r="BA1" s="4"/>
      <c r="BB1" s="4"/>
      <c r="BC1" s="4"/>
      <c r="BD1" s="4"/>
      <c r="BE1" s="4"/>
      <c r="BF1" s="10" t="s">
        <v>259</v>
      </c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ht="31" spans="1:69">
      <c r="A2" s="11" t="s">
        <v>203</v>
      </c>
      <c r="B2" s="11" t="s">
        <v>204</v>
      </c>
      <c r="C2" s="11" t="s">
        <v>44</v>
      </c>
      <c r="D2" s="11" t="s">
        <v>205</v>
      </c>
      <c r="E2" s="11" t="s">
        <v>206</v>
      </c>
      <c r="F2" s="11" t="s">
        <v>207</v>
      </c>
      <c r="G2" s="11" t="s">
        <v>208</v>
      </c>
      <c r="H2" s="11" t="s">
        <v>209</v>
      </c>
      <c r="I2" s="11" t="s">
        <v>210</v>
      </c>
      <c r="J2" s="11" t="s">
        <v>211</v>
      </c>
      <c r="K2" s="11" t="s">
        <v>212</v>
      </c>
      <c r="L2" s="11" t="s">
        <v>260</v>
      </c>
      <c r="M2" s="11" t="s">
        <v>214</v>
      </c>
      <c r="N2" s="11" t="s">
        <v>215</v>
      </c>
      <c r="O2" s="12" t="s">
        <v>216</v>
      </c>
      <c r="P2" s="12" t="s">
        <v>217</v>
      </c>
      <c r="Q2" s="13" t="s">
        <v>218</v>
      </c>
      <c r="R2" s="13" t="s">
        <v>219</v>
      </c>
      <c r="S2" s="14" t="s">
        <v>220</v>
      </c>
      <c r="T2" s="14" t="s">
        <v>221</v>
      </c>
      <c r="U2" s="12" t="s">
        <v>222</v>
      </c>
      <c r="V2" s="12" t="s">
        <v>223</v>
      </c>
      <c r="W2" s="12" t="s">
        <v>224</v>
      </c>
      <c r="X2" s="12" t="s">
        <v>225</v>
      </c>
      <c r="Y2" s="15" t="s">
        <v>226</v>
      </c>
      <c r="Z2" s="15" t="s">
        <v>227</v>
      </c>
      <c r="AA2" s="15" t="s">
        <v>228</v>
      </c>
      <c r="AB2" s="15" t="s">
        <v>229</v>
      </c>
      <c r="AC2" s="15" t="s">
        <v>230</v>
      </c>
      <c r="AD2" s="15" t="s">
        <v>231</v>
      </c>
      <c r="AE2" s="15" t="s">
        <v>261</v>
      </c>
      <c r="AF2" s="15" t="s">
        <v>262</v>
      </c>
      <c r="AG2" s="15" t="s">
        <v>263</v>
      </c>
      <c r="AH2" s="16" t="s">
        <v>235</v>
      </c>
      <c r="AI2" s="16" t="s">
        <v>264</v>
      </c>
      <c r="AJ2" s="16" t="s">
        <v>265</v>
      </c>
      <c r="AK2" s="16" t="s">
        <v>266</v>
      </c>
      <c r="AL2" s="16" t="s">
        <v>267</v>
      </c>
      <c r="AM2" s="16" t="s">
        <v>240</v>
      </c>
      <c r="AN2" s="16" t="s">
        <v>241</v>
      </c>
      <c r="AO2" s="16" t="s">
        <v>242</v>
      </c>
      <c r="AP2" s="17" t="s">
        <v>235</v>
      </c>
      <c r="AQ2" s="17" t="s">
        <v>268</v>
      </c>
      <c r="AR2" s="17" t="s">
        <v>269</v>
      </c>
      <c r="AS2" s="17" t="s">
        <v>265</v>
      </c>
      <c r="AT2" s="17" t="s">
        <v>266</v>
      </c>
      <c r="AU2" s="17" t="s">
        <v>240</v>
      </c>
      <c r="AV2" s="17" t="s">
        <v>241</v>
      </c>
      <c r="AW2" s="17" t="s">
        <v>242</v>
      </c>
      <c r="AX2" s="18" t="s">
        <v>235</v>
      </c>
      <c r="AY2" s="18" t="s">
        <v>268</v>
      </c>
      <c r="AZ2" s="18" t="s">
        <v>269</v>
      </c>
      <c r="BA2" s="18" t="s">
        <v>265</v>
      </c>
      <c r="BB2" s="18" t="s">
        <v>266</v>
      </c>
      <c r="BC2" s="18" t="s">
        <v>240</v>
      </c>
      <c r="BD2" s="18" t="s">
        <v>241</v>
      </c>
      <c r="BE2" s="18" t="s">
        <v>242</v>
      </c>
      <c r="BF2" s="19" t="s">
        <v>245</v>
      </c>
      <c r="BG2" s="19" t="s">
        <v>246</v>
      </c>
      <c r="BH2" s="19" t="s">
        <v>247</v>
      </c>
      <c r="BI2" s="19" t="s">
        <v>248</v>
      </c>
      <c r="BJ2" s="19" t="s">
        <v>249</v>
      </c>
      <c r="BK2" s="19" t="s">
        <v>250</v>
      </c>
      <c r="BL2" s="19" t="s">
        <v>251</v>
      </c>
      <c r="BM2" s="19" t="s">
        <v>237</v>
      </c>
      <c r="BN2" s="19" t="s">
        <v>238</v>
      </c>
      <c r="BO2" s="19" t="s">
        <v>240</v>
      </c>
      <c r="BP2" s="19" t="s">
        <v>252</v>
      </c>
      <c r="BQ2" s="19" t="s">
        <v>242</v>
      </c>
    </row>
    <row r="3" spans="1:69">
      <c r="A3" s="20"/>
      <c r="B3" s="20"/>
      <c r="C3" s="20" t="s">
        <v>114</v>
      </c>
      <c r="D3" s="21">
        <v>168</v>
      </c>
      <c r="E3" s="22">
        <v>1900</v>
      </c>
      <c r="F3" s="22">
        <v>62</v>
      </c>
      <c r="G3" s="22">
        <v>6</v>
      </c>
      <c r="H3" s="22">
        <v>27</v>
      </c>
      <c r="I3" s="22">
        <v>21</v>
      </c>
      <c r="J3" s="22">
        <v>5</v>
      </c>
      <c r="K3" s="22">
        <v>1.4</v>
      </c>
      <c r="L3" s="23">
        <v>200</v>
      </c>
      <c r="M3" s="24">
        <v>0.05</v>
      </c>
      <c r="N3" s="24">
        <v>0.05</v>
      </c>
      <c r="O3" s="25">
        <f>L3*KSA_Exch-AO3</f>
        <v>65.2753434782609</v>
      </c>
      <c r="P3" s="26">
        <f>IF(L3&gt;0,O3/(L3*KSA_Exch),0)</f>
        <v>0.169987873641304</v>
      </c>
      <c r="Q3" s="25">
        <f>(L3+AR3)*KSA_Exch-AW3</f>
        <v>57.6433434782608</v>
      </c>
      <c r="R3" s="26">
        <f>IF(L3&gt;0,Q3/(L3*KSA_Exch),0)</f>
        <v>0.150112873641304</v>
      </c>
      <c r="S3" s="25">
        <f>(L3+AZ3)*KSA_Exch-BE3</f>
        <v>-34.4101565217392</v>
      </c>
      <c r="T3" s="26">
        <f>IF(L3&gt;0,S3/(L3*KSA_Exch),0)</f>
        <v>-0.0896097826086957</v>
      </c>
      <c r="U3" s="25">
        <f>BF3*KSA_Exch-BQ3</f>
        <v>84.1251643051771</v>
      </c>
      <c r="V3" s="26">
        <f>IF(BF3&gt;0,U3/(BF3*KSA_Exch),0)</f>
        <v>0.225122444895833</v>
      </c>
      <c r="W3" s="27" t="str">
        <f>IF(MAX(O3,Q3,S3,U3)=O3,"FBN",IF(MAX(O3,Q3,S3,U3)=Q3,"海外仓FBP",IF(MAX(O3,Q3,S3,U3)=S3,"直邮FBP","Global")))</f>
        <v>Global</v>
      </c>
      <c r="X3" s="25">
        <f t="shared" ref="X3:X22" si="0">MAX(O3,Q3,S3,U3)</f>
        <v>84.1251643051771</v>
      </c>
      <c r="Y3" s="28">
        <f>GCC_DefaultDuty</f>
        <v>0.05</v>
      </c>
      <c r="Z3" s="29">
        <f t="shared" ref="Z3:Z22" si="1">H3*I3*J3/5000</f>
        <v>0.567</v>
      </c>
      <c r="AA3" s="29">
        <f t="shared" ref="AA3:AA22" si="2">MAX(K3,Z3)</f>
        <v>1.4</v>
      </c>
      <c r="AB3" s="29" t="str">
        <f t="shared" ref="AB3:AB22" si="3">IF(AND(MAX(H3,I3,J3)&lt;=20,MEDIAN(H3,I3,J3)&lt;=15,MIN(H3,I3,J3)&lt;=1),"Small Envelope",IF(AND(MAX(H3,I3,J3)&lt;=33,MEDIAN(H3,I3,J3)&lt;=23,MIN(H3,I3,J3)&lt;=2.5),"Standard Envelope",IF(AND(MAX(H3,I3,J3)&lt;=33,MEDIAN(H3,I3,J3)&lt;=23,MIN(H3,I3,J3)&lt;=5),"Large Envelope",IF(AND(MAX(H3,I3,J3)&lt;=45,MEDIAN(H3,I3,J3)&lt;=34,MIN(H3,I3,J3)&lt;=26),"Standard Parcel",IF(AND(MAX(H3,I3,J3)&lt;=130,MEDIAN(H3,I3,J3)&lt;=34,MIN(H3,I3,J3)&lt;=26),"Oversize",IF(AND(MAX(H3,I3,J3)&lt;=130,MEDIAN(H3,I3,J3)&lt;=130,MIN(H3,I3,J3)&lt;=130),"Extra Oversize","Bulky"))))))</f>
        <v>Large Envelope</v>
      </c>
      <c r="AC3" s="29">
        <f>IFERROR(VLOOKUP(AB3,FBN_SizeTiers,5,FALSE),0)</f>
        <v>0.04</v>
      </c>
      <c r="AD3" s="29">
        <f>IFERROR(MIN(MAX(K3,Z3)+AC3,VLOOKUP(AB3,FBN_SizeTiers,6,FALSE)),0)</f>
        <v>1</v>
      </c>
      <c r="AE3" s="30">
        <f>L3/(1+KSA_VAT)*KSA_VAT</f>
        <v>26.0869565217391</v>
      </c>
      <c r="AF3" s="30">
        <f>IFERROR(IF(INDEX(Comm_Table,MATCH(C3,INDEX(Comm_Table,,1),0),10)="Fixed",L3*INDEX(Comm_Table,MATCH(C3,INDEX(Comm_Table,,1),0),11),IF(INDEX(Comm_Table,MATCH(C3,INDEX(Comm_Table,,1),0),10)="Threshold",IF(L3&lt;=INDEX(Comm_Table,MATCH(C3,INDEX(Comm_Table,,1),0),12),L3*INDEX(Comm_Table,MATCH(C3,INDEX(Comm_Table,,1),0),11),L3*INDEX(Comm_Table,MATCH(C3,INDEX(Comm_Table,,1),0),13)),MIN(L3,INDEX(Comm_Table,MATCH(C3,INDEX(Comm_Table,,1),0),12))*INDEX(Comm_Table,MATCH(C3,INDEX(Comm_Table,,1),0),11)+MAX(0,L3-INDEX(Comm_Table,MATCH(C3,INDEX(Comm_Table,,1),0),12))*INDEX(Comm_Table,MATCH(C3,INDEX(Comm_Table,,1),0),13))),0)</f>
        <v>26</v>
      </c>
      <c r="AG3" s="30">
        <f>IFERROR(IF(INDEX(Comm_Table,MATCH(C3,INDEX(Comm_Table,,1),0),14)="Fixed",L3*INDEX(Comm_Table,MATCH(C3,INDEX(Comm_Table,,1),0),15),IF(INDEX(Comm_Table,MATCH(C3,INDEX(Comm_Table,,1),0),14)="Threshold",IF(L3&lt;=INDEX(Comm_Table,MATCH(C3,INDEX(Comm_Table,,1),0),16),L3*INDEX(Comm_Table,MATCH(C3,INDEX(Comm_Table,,1),0),15),L3*INDEX(Comm_Table,MATCH(C3,INDEX(Comm_Table,,1),0),17)),MIN(L3,INDEX(Comm_Table,MATCH(C3,INDEX(Comm_Table,,1),0),16))*INDEX(Comm_Table,MATCH(C3,INDEX(Comm_Table,,1),0),15)+MAX(0,L3-INDEX(Comm_Table,MATCH(C3,INDEX(Comm_Table,,1),0),16))*INDEX(Comm_Table,MATCH(C3,INDEX(Comm_Table,,1),0),17))),0)</f>
        <v>26</v>
      </c>
      <c r="AH3" s="31">
        <f t="shared" ref="AH3:AH22" si="4">(H3*I3*J3/1000000)*E3</f>
        <v>5.3865</v>
      </c>
      <c r="AI3" s="31">
        <f t="shared" ref="AI3:AI22" si="5">IF(AB3="Small Envelope",IF(L3&lt;=25,5.5,7.5),IF(AB3="Standard Envelope",IF(AD3&lt;=0.1,IF(L3&lt;=25,6,8),IF(AD3&lt;=0.25,IF(L3&lt;=25,6,8),IF(L3&lt;=25,6.5,8.5))),IF(AB3="Large Envelope",IF(L3&lt;=25,7,9),IF(AB3="Standard Parcel",IF(AD3&lt;=0.25,IF(L3&lt;=25,7,9),IF(AD3&lt;=0.5,IF(L3&lt;=25,7.5,9.5),IF(AD3&lt;=1,IF(L3&lt;=25,8,10),IF(AD3&lt;=1.5,IF(L3&lt;=25,8.5,11.5),IF(AD3&lt;=2,IF(L3&lt;=25,9,12),IF(AD3&lt;=3,IF(L3&lt;=25,10,13),IF(AD3&lt;=4,IF(L3&lt;=25,11,14),IF(AD3&lt;=5,IF(L3&lt;=25,12,15),IF(AD3&lt;=6,IF(L3&lt;=25,13,16),IF(AD3&lt;=7,IF(L3&lt;=25,14,17),IF(AD3&lt;=8,IF(L3&lt;=25,15,18),IF(AD3&lt;=9,IF(L3&lt;=25,16,19),IF(AD3&lt;=10,IF(L3&lt;=25,17,20),IF(AD3&lt;=11,IF(L3&lt;=25,18,21),IF(L3&lt;=25,19,22))))))))))))))),IF(AB3="Oversize",IF(AD3&lt;=1,IF(L3&lt;=25,10,14),IF(AD3&lt;=2,IF(L3&lt;=25,11,15),IF(AD3&lt;=3,IF(L3&lt;=25,12,16),IF(AD3&lt;=4,IF(L3&lt;=25,13,17),IF(AD3&lt;=5,IF(L3&lt;=25,14,18),IF(AD3&lt;=6,IF(L3&lt;=25,15,19),IF(AD3&lt;=7,IF(L3&lt;=25,16,20),IF(AD3&lt;=8,IF(L3&lt;=25,17,21),IF(AD3&lt;=9,IF(L3&lt;=25,18,22),IF(AD3&lt;=10,IF(L3&lt;=25,19,23),IF(AD3&lt;=15,IF(L3&lt;=25,24,28),IF(AD3&lt;=20,IF(L3&lt;=25,29,33),IF(AD3&lt;=25,IF(L3&lt;=25,34,38),IF(L3&lt;=25,39,43)))))))))))))),IF(AB3="Extra Oversize",IF(AD3&lt;=4,IF(L3&lt;=25,15.5,18.5),IF(AD3&lt;=5,IF(L3&lt;=25,16.5,19.5),IF(AD3&lt;=6,IF(L3&lt;=25,17.5,20.5),IF(AD3&lt;=7,IF(L3&lt;=25,18.5,21.5),IF(AD3&lt;=8,IF(L3&lt;=25,19.5,22.5),IF(AD3&lt;=9,IF(L3&lt;=25,20.5,23.5),IF(AD3&lt;=10,IF(L3&lt;=25,21.5,24.5),IF(AD3&lt;=15,IF(L3&lt;=25,25,29),IF(AD3&lt;=20,IF(L3&lt;=25,30,34),IF(AD3&lt;=25,IF(L3&lt;=25,35,39),IF(L3&lt;=25,39,44))))))))))),IF(AB3="Bulky",IF(AD3&lt;=20,IF(L3&lt;=25,33,37),IF(AD3&lt;=21,IF(L3&lt;=25,35,39),IF(AD3&lt;=22,IF(L3&lt;=25,37,41),IF(AD3&lt;=23,IF(L3&lt;=25,39,43),IF(AD3&lt;=24,IF(L3&lt;=25,41,45),IF(AD3&lt;=25,IF(L3&lt;=25,43,47),IF(AD3&lt;=26,IF(L3&lt;=25,45,49),IF(AD3&lt;=27,IF(L3&lt;=25,47,51),IF(AD3&lt;=28,IF(L3&lt;=25,49,53),IF(AD3&lt;=29,IF(L3&lt;=25,51,55),IF(AD3&lt;=30,IF(L3&lt;=25,53,57),IF(AD3&lt;=35,IF(L3&lt;=25,61,65),IF(L3&lt;=25,70,75))))))))))))),0)))))))</f>
        <v>9</v>
      </c>
      <c r="AJ3" s="31">
        <f>AF3*KSA_VAT</f>
        <v>3.9</v>
      </c>
      <c r="AK3" s="31">
        <f t="shared" ref="AK3:AK22" si="6">L3*M3</f>
        <v>10</v>
      </c>
      <c r="AL3" s="31">
        <f>MIN(15,AF3*0.2)</f>
        <v>5.2</v>
      </c>
      <c r="AM3" s="31">
        <f>AL3*N3</f>
        <v>0.26</v>
      </c>
      <c r="AN3" s="31">
        <f>(AI3+KSA_Restock)*N3</f>
        <v>0.45</v>
      </c>
      <c r="AO3" s="31">
        <f>D3+AH3+(AE3+AF3+AJ3+AI3+AK3+AM3+AN3)*KSA_Exch</f>
        <v>318.724656521739</v>
      </c>
      <c r="AP3" s="32">
        <f t="shared" ref="AP3:AP22" si="7">(H3*I3*J3/1000000)*E3</f>
        <v>5.3865</v>
      </c>
      <c r="AQ3" s="32">
        <f>IFERROR(INDEX(FBP_Fees,MATCH(AA3,INDEX(FBP_Fees,,1),1),IF(FBP_DeliveryMode="Drop-off",4,5)),0)</f>
        <v>18.5</v>
      </c>
      <c r="AR3" s="32">
        <f t="shared" ref="AR3:AR22" si="8">IF(L3&lt;100,12,IF(L3&lt;=500,6,0))</f>
        <v>6</v>
      </c>
      <c r="AS3" s="32">
        <f>AG3*KSA_VAT</f>
        <v>3.9</v>
      </c>
      <c r="AT3" s="32">
        <f t="shared" ref="AT3:AT22" si="9">L3*M3</f>
        <v>10</v>
      </c>
      <c r="AU3" s="32">
        <f t="shared" ref="AU3:AU22" si="10">MIN(15,AG3*0.2)*N3</f>
        <v>0.26</v>
      </c>
      <c r="AV3" s="32">
        <f>(AQ3+KSA_Restock)*N3</f>
        <v>0.925</v>
      </c>
      <c r="AW3" s="32">
        <f>D3+AP3+(AE3+AG3+AS3+AQ3+AT3+AU3+AV3)*KSA_Exch</f>
        <v>337.876656521739</v>
      </c>
      <c r="AX3" s="33">
        <f t="shared" ref="AX3:AX22" si="11">CEILING(AA3,0.1)*F3+G3</f>
        <v>92.8</v>
      </c>
      <c r="AY3" s="33">
        <f>IFERROR(INDEX(FBP_Fees,MATCH(AA3,INDEX(FBP_Fees,,1),1),IF(FBP_DeliveryMode="Drop-off",4,5)),0)</f>
        <v>18.5</v>
      </c>
      <c r="AZ3" s="33">
        <f t="shared" ref="AZ3:AZ22" si="12">IF(L3&lt;100,12,IF(L3&lt;=500,6,0))</f>
        <v>6</v>
      </c>
      <c r="BA3" s="33">
        <f>AG3*KSA_VAT</f>
        <v>3.9</v>
      </c>
      <c r="BB3" s="33">
        <f t="shared" ref="BB3:BB22" si="13">L3*M3</f>
        <v>10</v>
      </c>
      <c r="BC3" s="33">
        <f t="shared" ref="BC3:BC22" si="14">MIN(15,AG3*0.2)*N3</f>
        <v>0.26</v>
      </c>
      <c r="BD3" s="33">
        <f>(AX3/KSA_Exch+AY3+KSA_Restock)*N3</f>
        <v>3.34166666666667</v>
      </c>
      <c r="BE3" s="33">
        <f>D3+AX3+(AE3+AG3+BA3+AY3+BB3+BC3+BD3)*KSA_Exch</f>
        <v>429.930156521739</v>
      </c>
      <c r="BF3" s="34">
        <f>(L3/1.05/USD_AED)*USD_SAR</f>
        <v>194.628260023355</v>
      </c>
      <c r="BG3" s="34">
        <f t="shared" ref="BG3:BG22" si="15">BF3*Y3</f>
        <v>9.73141300116777</v>
      </c>
      <c r="BH3" s="34">
        <f>MAX(KSA_ClearanceFeeMin,MIN(KSA_ClearanceFeeMax,BF3*KSA_ClearanceFeeRate))</f>
        <v>15</v>
      </c>
      <c r="BI3" s="34">
        <f>(BF3+BG3)*KSA_VAT</f>
        <v>30.6539509536785</v>
      </c>
      <c r="BJ3" s="34">
        <f>(BF3+BG3+BH3)*(1+KSA_VAT)</f>
        <v>252.263623978202</v>
      </c>
      <c r="BK3" s="34">
        <f>L3*CrossBorderFeeRate</f>
        <v>10</v>
      </c>
      <c r="BL3" s="34">
        <f t="shared" ref="BL3:BL22" si="16">AF3</f>
        <v>26</v>
      </c>
      <c r="BM3" s="34">
        <f>BL3*UAE_VAT</f>
        <v>1.3</v>
      </c>
      <c r="BN3" s="34">
        <f t="shared" ref="BN3:BN22" si="17">L3*M3</f>
        <v>10</v>
      </c>
      <c r="BO3" s="34">
        <f t="shared" ref="BO3:BO22" si="18">MIN(15,BL3*0.2)*N3</f>
        <v>0.26</v>
      </c>
      <c r="BP3" s="34">
        <f t="shared" ref="BP3:BP22" si="19">(BI3+BG3+BH3)*N3</f>
        <v>2.76926819774231</v>
      </c>
      <c r="BQ3" s="34">
        <f>D3+AH3+(BK3+BL3+BM3+BN3+BO3+AI3)*UAE_Exch+(BP3)*KSA_Exch</f>
        <v>289.561094939665</v>
      </c>
    </row>
    <row r="4" spans="1:69">
      <c r="A4" s="20"/>
      <c r="B4" s="20"/>
      <c r="C4" s="20"/>
      <c r="D4" s="35">
        <v>5</v>
      </c>
      <c r="E4" s="23">
        <v>800</v>
      </c>
      <c r="F4" s="23">
        <v>45</v>
      </c>
      <c r="G4" s="23">
        <v>2</v>
      </c>
      <c r="H4" s="23">
        <v>5</v>
      </c>
      <c r="I4" s="23">
        <v>5</v>
      </c>
      <c r="J4" s="23">
        <v>1</v>
      </c>
      <c r="K4" s="23">
        <v>0.01</v>
      </c>
      <c r="L4" s="23">
        <v>15</v>
      </c>
      <c r="M4" s="24">
        <v>0.05</v>
      </c>
      <c r="N4" s="24">
        <v>0.05</v>
      </c>
      <c r="O4" s="25">
        <f>L4*KSA_Exch-AO4</f>
        <v>7.49547826086956</v>
      </c>
      <c r="P4" s="26">
        <f>IF(L4&gt;0,O4/(L4*KSA_Exch),0)</f>
        <v>0.260259661835749</v>
      </c>
      <c r="Q4" s="25">
        <f>(L4+AR4)*KSA_Exch-AW4</f>
        <v>41.6234782608696</v>
      </c>
      <c r="R4" s="26">
        <f>IF(L4&gt;0,Q4/(L4*KSA_Exch),0)</f>
        <v>1.44525966183575</v>
      </c>
      <c r="S4" s="25">
        <f>(L4+AZ4)*KSA_Exch-BE4</f>
        <v>34.8184782608696</v>
      </c>
      <c r="T4" s="26">
        <f>IF(L4&gt;0,S4/(L4*KSA_Exch),0)</f>
        <v>1.20897493961353</v>
      </c>
      <c r="U4" s="25">
        <f>BF4*KSA_Exch-BQ4</f>
        <v>7.55569482288828</v>
      </c>
      <c r="V4" s="26">
        <f>IF(BF4&gt;0,U4/(BF4*KSA_Exch),0)</f>
        <v>0.269591388888889</v>
      </c>
      <c r="W4" s="27" t="str">
        <f t="shared" ref="W3:W22" si="20">IF(MAX(O4,Q4,S4,U4)=O4,"FBN",IF(MAX(O4,Q4,S4,U4)=Q4,"海外仓FBP",IF(MAX(O4,Q4,S4,U4)=S4,"直邮FBP","Global")))</f>
        <v>海外仓FBP</v>
      </c>
      <c r="X4" s="25">
        <f t="shared" si="0"/>
        <v>41.6234782608696</v>
      </c>
      <c r="Y4" s="28">
        <f>GCC_DefaultDuty</f>
        <v>0.05</v>
      </c>
      <c r="Z4" s="29">
        <f t="shared" si="1"/>
        <v>0.005</v>
      </c>
      <c r="AA4" s="29">
        <f t="shared" si="2"/>
        <v>0.01</v>
      </c>
      <c r="AB4" s="29" t="str">
        <f t="shared" si="3"/>
        <v>Small Envelope</v>
      </c>
      <c r="AC4" s="29">
        <f>IFERROR(VLOOKUP(AB4,FBN_SizeTiers,5,FALSE),0)</f>
        <v>0.02</v>
      </c>
      <c r="AD4" s="29">
        <f>IFERROR(MIN(MAX(K4,Z4)+AC4,VLOOKUP(AB4,FBN_SizeTiers,6,FALSE)),0)</f>
        <v>0.03</v>
      </c>
      <c r="AE4" s="30">
        <f>L4/(1+KSA_VAT)*KSA_VAT</f>
        <v>1.95652173913043</v>
      </c>
      <c r="AF4" s="30">
        <f>IFERROR(IF(INDEX(Comm_Table,MATCH(C4,INDEX(Comm_Table,,1),0),10)="Fixed",L4*INDEX(Comm_Table,MATCH(C4,INDEX(Comm_Table,,1),0),11),IF(INDEX(Comm_Table,MATCH(C4,INDEX(Comm_Table,,1),0),10)="Threshold",IF(L4&lt;=INDEX(Comm_Table,MATCH(C4,INDEX(Comm_Table,,1),0),12),L4*INDEX(Comm_Table,MATCH(C4,INDEX(Comm_Table,,1),0),11),L4*INDEX(Comm_Table,MATCH(C4,INDEX(Comm_Table,,1),0),13)),MIN(L4,INDEX(Comm_Table,MATCH(C4,INDEX(Comm_Table,,1),0),12))*INDEX(Comm_Table,MATCH(C4,INDEX(Comm_Table,,1),0),11)+MAX(0,L4-INDEX(Comm_Table,MATCH(C4,INDEX(Comm_Table,,1),0),12))*INDEX(Comm_Table,MATCH(C4,INDEX(Comm_Table,,1),0),13))),0)</f>
        <v>0</v>
      </c>
      <c r="AG4" s="30">
        <f>IFERROR(IF(INDEX(Comm_Table,MATCH(C4,INDEX(Comm_Table,,1),0),14)="Fixed",L4*INDEX(Comm_Table,MATCH(C4,INDEX(Comm_Table,,1),0),15),IF(INDEX(Comm_Table,MATCH(C4,INDEX(Comm_Table,,1),0),14)="Threshold",IF(L4&lt;=INDEX(Comm_Table,MATCH(C4,INDEX(Comm_Table,,1),0),16),L4*INDEX(Comm_Table,MATCH(C4,INDEX(Comm_Table,,1),0),15),L4*INDEX(Comm_Table,MATCH(C4,INDEX(Comm_Table,,1),0),17)),MIN(L4,INDEX(Comm_Table,MATCH(C4,INDEX(Comm_Table,,1),0),16))*INDEX(Comm_Table,MATCH(C4,INDEX(Comm_Table,,1),0),15)+MAX(0,L4-INDEX(Comm_Table,MATCH(C4,INDEX(Comm_Table,,1),0),16))*INDEX(Comm_Table,MATCH(C4,INDEX(Comm_Table,,1),0),17))),0)</f>
        <v>0</v>
      </c>
      <c r="AH4" s="31">
        <f t="shared" si="4"/>
        <v>0.02</v>
      </c>
      <c r="AI4" s="31">
        <f t="shared" si="5"/>
        <v>5.5</v>
      </c>
      <c r="AJ4" s="31">
        <f>AF4*KSA_VAT</f>
        <v>0</v>
      </c>
      <c r="AK4" s="31">
        <f t="shared" si="6"/>
        <v>0.75</v>
      </c>
      <c r="AL4" s="31">
        <f t="shared" ref="AL3:AL22" si="21">MIN(15,AF4*0.2)</f>
        <v>0</v>
      </c>
      <c r="AM4" s="31">
        <f t="shared" ref="AM3:AM22" si="22">AL4*N4</f>
        <v>0</v>
      </c>
      <c r="AN4" s="31">
        <f>(AI4+KSA_Restock)*N4</f>
        <v>0.275</v>
      </c>
      <c r="AO4" s="31">
        <f>D4+AH4+(AE4+AF4+AJ4+AI4+AK4+AM4+AN4)*KSA_Exch</f>
        <v>21.3045217391304</v>
      </c>
      <c r="AP4" s="32">
        <f t="shared" si="7"/>
        <v>0.02</v>
      </c>
      <c r="AQ4" s="32">
        <f>IFERROR(INDEX(FBP_Fees,MATCH(AA4,INDEX(FBP_Fees,,1),1),IF(FBP_DeliveryMode="Drop-off",4,5)),0)</f>
        <v>0</v>
      </c>
      <c r="AR4" s="32">
        <f t="shared" si="8"/>
        <v>12</v>
      </c>
      <c r="AS4" s="32">
        <f>AG4*KSA_VAT</f>
        <v>0</v>
      </c>
      <c r="AT4" s="32">
        <f t="shared" si="9"/>
        <v>0.75</v>
      </c>
      <c r="AU4" s="32">
        <f t="shared" si="10"/>
        <v>0</v>
      </c>
      <c r="AV4" s="32">
        <f>(AQ4+KSA_Restock)*N4</f>
        <v>0</v>
      </c>
      <c r="AW4" s="32">
        <f>D4+AP4+(AE4+AG4+AS4+AQ4+AT4+AU4+AV4)*KSA_Exch</f>
        <v>10.2165217391304</v>
      </c>
      <c r="AX4" s="33">
        <f t="shared" si="11"/>
        <v>6.5</v>
      </c>
      <c r="AY4" s="33">
        <f>IFERROR(INDEX(FBP_Fees,MATCH(AA4,INDEX(FBP_Fees,,1),1),IF(FBP_DeliveryMode="Drop-off",4,5)),0)</f>
        <v>0</v>
      </c>
      <c r="AZ4" s="33">
        <f t="shared" si="12"/>
        <v>12</v>
      </c>
      <c r="BA4" s="33">
        <f>AG4*KSA_VAT</f>
        <v>0</v>
      </c>
      <c r="BB4" s="33">
        <f t="shared" si="13"/>
        <v>0.75</v>
      </c>
      <c r="BC4" s="33">
        <f t="shared" si="14"/>
        <v>0</v>
      </c>
      <c r="BD4" s="33">
        <f>(AX4/KSA_Exch+AY4+KSA_Restock)*N4</f>
        <v>0.169270833333333</v>
      </c>
      <c r="BE4" s="33">
        <f>D4+AX4+(AE4+AG4+BA4+AY4+BB4+BC4+BD4)*KSA_Exch</f>
        <v>17.0215217391304</v>
      </c>
      <c r="BF4" s="34">
        <f>(L4/1.05/USD_AED)*USD_SAR</f>
        <v>14.5971195017517</v>
      </c>
      <c r="BG4" s="34">
        <f t="shared" si="15"/>
        <v>0.729855975087583</v>
      </c>
      <c r="BH4" s="34">
        <f>MAX(KSA_ClearanceFeeMin,MIN(KSA_ClearanceFeeMax,BF4*KSA_ClearanceFeeRate))</f>
        <v>15</v>
      </c>
      <c r="BI4" s="34">
        <f>(BF4+BG4)*KSA_VAT</f>
        <v>2.29904632152589</v>
      </c>
      <c r="BJ4" s="34">
        <f>(BF4+BG4+BH4)*(1+KSA_VAT)</f>
        <v>34.8760217983651</v>
      </c>
      <c r="BK4" s="34">
        <f>L4*CrossBorderFeeRate</f>
        <v>0.75</v>
      </c>
      <c r="BL4" s="34">
        <f t="shared" si="16"/>
        <v>0</v>
      </c>
      <c r="BM4" s="34">
        <f>BL4*UAE_VAT</f>
        <v>0</v>
      </c>
      <c r="BN4" s="34">
        <f t="shared" si="17"/>
        <v>0.75</v>
      </c>
      <c r="BO4" s="34">
        <f t="shared" si="18"/>
        <v>0</v>
      </c>
      <c r="BP4" s="34">
        <f t="shared" si="19"/>
        <v>0.901445114830673</v>
      </c>
      <c r="BQ4" s="34">
        <f>D4+AH4+(BK4+BL4+BM4+BN4+BO4+AI4)*UAE_Exch+(BP4)*KSA_Exch</f>
        <v>20.4707746204749</v>
      </c>
    </row>
    <row r="5" spans="1:69">
      <c r="A5" s="20"/>
      <c r="B5" s="20"/>
      <c r="C5" s="20"/>
      <c r="D5" s="35">
        <v>5</v>
      </c>
      <c r="E5" s="23">
        <v>800</v>
      </c>
      <c r="F5" s="23">
        <v>45</v>
      </c>
      <c r="G5" s="23">
        <v>2</v>
      </c>
      <c r="H5" s="23">
        <v>5</v>
      </c>
      <c r="I5" s="23">
        <v>5</v>
      </c>
      <c r="J5" s="23">
        <v>1</v>
      </c>
      <c r="K5" s="23">
        <v>0.01</v>
      </c>
      <c r="L5" s="23">
        <v>15</v>
      </c>
      <c r="M5" s="24">
        <v>0.05</v>
      </c>
      <c r="N5" s="24">
        <v>0.05</v>
      </c>
      <c r="O5" s="25">
        <f>L5*KSA_Exch-AO5</f>
        <v>7.49547826086956</v>
      </c>
      <c r="P5" s="26">
        <f>IF(L5&gt;0,O5/(L5*KSA_Exch),0)</f>
        <v>0.260259661835749</v>
      </c>
      <c r="Q5" s="25">
        <f>(L5+AR5)*KSA_Exch-AW5</f>
        <v>41.6234782608696</v>
      </c>
      <c r="R5" s="26">
        <f>IF(L5&gt;0,Q5/(L5*KSA_Exch),0)</f>
        <v>1.44525966183575</v>
      </c>
      <c r="S5" s="25">
        <f>(L5+AZ5)*KSA_Exch-BE5</f>
        <v>34.8184782608696</v>
      </c>
      <c r="T5" s="26">
        <f>IF(L5&gt;0,S5/(L5*KSA_Exch),0)</f>
        <v>1.20897493961353</v>
      </c>
      <c r="U5" s="25">
        <f>BF5*KSA_Exch-BQ5</f>
        <v>7.55569482288828</v>
      </c>
      <c r="V5" s="26">
        <f>IF(BF5&gt;0,U5/(BF5*KSA_Exch),0)</f>
        <v>0.269591388888889</v>
      </c>
      <c r="W5" s="27" t="str">
        <f t="shared" si="20"/>
        <v>海外仓FBP</v>
      </c>
      <c r="X5" s="25">
        <f t="shared" si="0"/>
        <v>41.6234782608696</v>
      </c>
      <c r="Y5" s="28">
        <f>GCC_DefaultDuty</f>
        <v>0.05</v>
      </c>
      <c r="Z5" s="29">
        <f t="shared" si="1"/>
        <v>0.005</v>
      </c>
      <c r="AA5" s="29">
        <f t="shared" si="2"/>
        <v>0.01</v>
      </c>
      <c r="AB5" s="29" t="str">
        <f t="shared" si="3"/>
        <v>Small Envelope</v>
      </c>
      <c r="AC5" s="29">
        <f>IFERROR(VLOOKUP(AB5,FBN_SizeTiers,5,FALSE),0)</f>
        <v>0.02</v>
      </c>
      <c r="AD5" s="29">
        <f>IFERROR(MIN(MAX(K5,Z5)+AC5,VLOOKUP(AB5,FBN_SizeTiers,6,FALSE)),0)</f>
        <v>0.03</v>
      </c>
      <c r="AE5" s="30">
        <f>L5/(1+KSA_VAT)*KSA_VAT</f>
        <v>1.95652173913043</v>
      </c>
      <c r="AF5" s="30">
        <f>IFERROR(IF(INDEX(Comm_Table,MATCH(C5,INDEX(Comm_Table,,1),0),10)="Fixed",L5*INDEX(Comm_Table,MATCH(C5,INDEX(Comm_Table,,1),0),11),IF(INDEX(Comm_Table,MATCH(C5,INDEX(Comm_Table,,1),0),10)="Threshold",IF(L5&lt;=INDEX(Comm_Table,MATCH(C5,INDEX(Comm_Table,,1),0),12),L5*INDEX(Comm_Table,MATCH(C5,INDEX(Comm_Table,,1),0),11),L5*INDEX(Comm_Table,MATCH(C5,INDEX(Comm_Table,,1),0),13)),MIN(L5,INDEX(Comm_Table,MATCH(C5,INDEX(Comm_Table,,1),0),12))*INDEX(Comm_Table,MATCH(C5,INDEX(Comm_Table,,1),0),11)+MAX(0,L5-INDEX(Comm_Table,MATCH(C5,INDEX(Comm_Table,,1),0),12))*INDEX(Comm_Table,MATCH(C5,INDEX(Comm_Table,,1),0),13))),0)</f>
        <v>0</v>
      </c>
      <c r="AG5" s="30">
        <f>IFERROR(IF(INDEX(Comm_Table,MATCH(C5,INDEX(Comm_Table,,1),0),14)="Fixed",L5*INDEX(Comm_Table,MATCH(C5,INDEX(Comm_Table,,1),0),15),IF(INDEX(Comm_Table,MATCH(C5,INDEX(Comm_Table,,1),0),14)="Threshold",IF(L5&lt;=INDEX(Comm_Table,MATCH(C5,INDEX(Comm_Table,,1),0),16),L5*INDEX(Comm_Table,MATCH(C5,INDEX(Comm_Table,,1),0),15),L5*INDEX(Comm_Table,MATCH(C5,INDEX(Comm_Table,,1),0),17)),MIN(L5,INDEX(Comm_Table,MATCH(C5,INDEX(Comm_Table,,1),0),16))*INDEX(Comm_Table,MATCH(C5,INDEX(Comm_Table,,1),0),15)+MAX(0,L5-INDEX(Comm_Table,MATCH(C5,INDEX(Comm_Table,,1),0),16))*INDEX(Comm_Table,MATCH(C5,INDEX(Comm_Table,,1),0),17))),0)</f>
        <v>0</v>
      </c>
      <c r="AH5" s="31">
        <f t="shared" si="4"/>
        <v>0.02</v>
      </c>
      <c r="AI5" s="31">
        <f t="shared" si="5"/>
        <v>5.5</v>
      </c>
      <c r="AJ5" s="31">
        <f>AF5*KSA_VAT</f>
        <v>0</v>
      </c>
      <c r="AK5" s="31">
        <f t="shared" si="6"/>
        <v>0.75</v>
      </c>
      <c r="AL5" s="31">
        <f t="shared" si="21"/>
        <v>0</v>
      </c>
      <c r="AM5" s="31">
        <f t="shared" si="22"/>
        <v>0</v>
      </c>
      <c r="AN5" s="31">
        <f>(AI5+KSA_Restock)*N5</f>
        <v>0.275</v>
      </c>
      <c r="AO5" s="31">
        <f>D5+AH5+(AE5+AF5+AJ5+AI5+AK5+AM5+AN5)*KSA_Exch</f>
        <v>21.3045217391304</v>
      </c>
      <c r="AP5" s="32">
        <f t="shared" si="7"/>
        <v>0.02</v>
      </c>
      <c r="AQ5" s="32">
        <f>IFERROR(INDEX(FBP_Fees,MATCH(AA5,INDEX(FBP_Fees,,1),1),IF(FBP_DeliveryMode="Drop-off",4,5)),0)</f>
        <v>0</v>
      </c>
      <c r="AR5" s="32">
        <f t="shared" si="8"/>
        <v>12</v>
      </c>
      <c r="AS5" s="32">
        <f>AG5*KSA_VAT</f>
        <v>0</v>
      </c>
      <c r="AT5" s="32">
        <f t="shared" si="9"/>
        <v>0.75</v>
      </c>
      <c r="AU5" s="32">
        <f t="shared" si="10"/>
        <v>0</v>
      </c>
      <c r="AV5" s="32">
        <f>(AQ5+KSA_Restock)*N5</f>
        <v>0</v>
      </c>
      <c r="AW5" s="32">
        <f>D5+AP5+(AE5+AG5+AS5+AQ5+AT5+AU5+AV5)*KSA_Exch</f>
        <v>10.2165217391304</v>
      </c>
      <c r="AX5" s="33">
        <f t="shared" si="11"/>
        <v>6.5</v>
      </c>
      <c r="AY5" s="33">
        <f>IFERROR(INDEX(FBP_Fees,MATCH(AA5,INDEX(FBP_Fees,,1),1),IF(FBP_DeliveryMode="Drop-off",4,5)),0)</f>
        <v>0</v>
      </c>
      <c r="AZ5" s="33">
        <f t="shared" si="12"/>
        <v>12</v>
      </c>
      <c r="BA5" s="33">
        <f>AG5*KSA_VAT</f>
        <v>0</v>
      </c>
      <c r="BB5" s="33">
        <f t="shared" si="13"/>
        <v>0.75</v>
      </c>
      <c r="BC5" s="33">
        <f t="shared" si="14"/>
        <v>0</v>
      </c>
      <c r="BD5" s="33">
        <f>(AX5/KSA_Exch+AY5+KSA_Restock)*N5</f>
        <v>0.169270833333333</v>
      </c>
      <c r="BE5" s="33">
        <f>D5+AX5+(AE5+AG5+BA5+AY5+BB5+BC5+BD5)*KSA_Exch</f>
        <v>17.0215217391304</v>
      </c>
      <c r="BF5" s="34">
        <f>(L5/1.05/USD_AED)*USD_SAR</f>
        <v>14.5971195017517</v>
      </c>
      <c r="BG5" s="34">
        <f t="shared" si="15"/>
        <v>0.729855975087583</v>
      </c>
      <c r="BH5" s="34">
        <f>MAX(KSA_ClearanceFeeMin,MIN(KSA_ClearanceFeeMax,BF5*KSA_ClearanceFeeRate))</f>
        <v>15</v>
      </c>
      <c r="BI5" s="34">
        <f>(BF5+BG5)*KSA_VAT</f>
        <v>2.29904632152589</v>
      </c>
      <c r="BJ5" s="34">
        <f>(BF5+BG5+BH5)*(1+KSA_VAT)</f>
        <v>34.8760217983651</v>
      </c>
      <c r="BK5" s="34">
        <f>L5*CrossBorderFeeRate</f>
        <v>0.75</v>
      </c>
      <c r="BL5" s="34">
        <f t="shared" si="16"/>
        <v>0</v>
      </c>
      <c r="BM5" s="34">
        <f>BL5*UAE_VAT</f>
        <v>0</v>
      </c>
      <c r="BN5" s="34">
        <f t="shared" si="17"/>
        <v>0.75</v>
      </c>
      <c r="BO5" s="34">
        <f t="shared" si="18"/>
        <v>0</v>
      </c>
      <c r="BP5" s="34">
        <f t="shared" si="19"/>
        <v>0.901445114830673</v>
      </c>
      <c r="BQ5" s="34">
        <f>D5+AH5+(BK5+BL5+BM5+BN5+BO5+AI5)*UAE_Exch+(BP5)*KSA_Exch</f>
        <v>20.4707746204749</v>
      </c>
    </row>
    <row r="6" spans="1:69">
      <c r="A6" s="20"/>
      <c r="B6" s="20"/>
      <c r="C6" s="20"/>
      <c r="D6" s="35">
        <v>5</v>
      </c>
      <c r="E6" s="23">
        <v>800</v>
      </c>
      <c r="F6" s="23">
        <v>45</v>
      </c>
      <c r="G6" s="23">
        <v>2</v>
      </c>
      <c r="H6" s="23">
        <v>5</v>
      </c>
      <c r="I6" s="23">
        <v>5</v>
      </c>
      <c r="J6" s="23">
        <v>1</v>
      </c>
      <c r="K6" s="23">
        <v>0.01</v>
      </c>
      <c r="L6" s="23">
        <v>15</v>
      </c>
      <c r="M6" s="24">
        <v>0.05</v>
      </c>
      <c r="N6" s="24">
        <v>0.05</v>
      </c>
      <c r="O6" s="25">
        <f>L6*KSA_Exch-AO6</f>
        <v>7.49547826086956</v>
      </c>
      <c r="P6" s="26">
        <f>IF(L6&gt;0,O6/(L6*KSA_Exch),0)</f>
        <v>0.260259661835749</v>
      </c>
      <c r="Q6" s="25">
        <f>(L6+AR6)*KSA_Exch-AW6</f>
        <v>41.6234782608696</v>
      </c>
      <c r="R6" s="26">
        <f>IF(L6&gt;0,Q6/(L6*KSA_Exch),0)</f>
        <v>1.44525966183575</v>
      </c>
      <c r="S6" s="25">
        <f>(L6+AZ6)*KSA_Exch-BE6</f>
        <v>34.8184782608696</v>
      </c>
      <c r="T6" s="26">
        <f>IF(L6&gt;0,S6/(L6*KSA_Exch),0)</f>
        <v>1.20897493961353</v>
      </c>
      <c r="U6" s="25">
        <f>BF6*KSA_Exch-BQ6</f>
        <v>7.55569482288828</v>
      </c>
      <c r="V6" s="26">
        <f>IF(BF6&gt;0,U6/(BF6*KSA_Exch),0)</f>
        <v>0.269591388888889</v>
      </c>
      <c r="W6" s="27" t="str">
        <f t="shared" si="20"/>
        <v>海外仓FBP</v>
      </c>
      <c r="X6" s="25">
        <f t="shared" si="0"/>
        <v>41.6234782608696</v>
      </c>
      <c r="Y6" s="28">
        <f>GCC_DefaultDuty</f>
        <v>0.05</v>
      </c>
      <c r="Z6" s="29">
        <f t="shared" si="1"/>
        <v>0.005</v>
      </c>
      <c r="AA6" s="29">
        <f t="shared" si="2"/>
        <v>0.01</v>
      </c>
      <c r="AB6" s="29" t="str">
        <f t="shared" si="3"/>
        <v>Small Envelope</v>
      </c>
      <c r="AC6" s="29">
        <f>IFERROR(VLOOKUP(AB6,FBN_SizeTiers,5,FALSE),0)</f>
        <v>0.02</v>
      </c>
      <c r="AD6" s="29">
        <f>IFERROR(MIN(MAX(K6,Z6)+AC6,VLOOKUP(AB6,FBN_SizeTiers,6,FALSE)),0)</f>
        <v>0.03</v>
      </c>
      <c r="AE6" s="30">
        <f>L6/(1+KSA_VAT)*KSA_VAT</f>
        <v>1.95652173913043</v>
      </c>
      <c r="AF6" s="30">
        <f>IFERROR(IF(INDEX(Comm_Table,MATCH(C6,INDEX(Comm_Table,,1),0),10)="Fixed",L6*INDEX(Comm_Table,MATCH(C6,INDEX(Comm_Table,,1),0),11),IF(INDEX(Comm_Table,MATCH(C6,INDEX(Comm_Table,,1),0),10)="Threshold",IF(L6&lt;=INDEX(Comm_Table,MATCH(C6,INDEX(Comm_Table,,1),0),12),L6*INDEX(Comm_Table,MATCH(C6,INDEX(Comm_Table,,1),0),11),L6*INDEX(Comm_Table,MATCH(C6,INDEX(Comm_Table,,1),0),13)),MIN(L6,INDEX(Comm_Table,MATCH(C6,INDEX(Comm_Table,,1),0),12))*INDEX(Comm_Table,MATCH(C6,INDEX(Comm_Table,,1),0),11)+MAX(0,L6-INDEX(Comm_Table,MATCH(C6,INDEX(Comm_Table,,1),0),12))*INDEX(Comm_Table,MATCH(C6,INDEX(Comm_Table,,1),0),13))),0)</f>
        <v>0</v>
      </c>
      <c r="AG6" s="30">
        <f>IFERROR(IF(INDEX(Comm_Table,MATCH(C6,INDEX(Comm_Table,,1),0),14)="Fixed",L6*INDEX(Comm_Table,MATCH(C6,INDEX(Comm_Table,,1),0),15),IF(INDEX(Comm_Table,MATCH(C6,INDEX(Comm_Table,,1),0),14)="Threshold",IF(L6&lt;=INDEX(Comm_Table,MATCH(C6,INDEX(Comm_Table,,1),0),16),L6*INDEX(Comm_Table,MATCH(C6,INDEX(Comm_Table,,1),0),15),L6*INDEX(Comm_Table,MATCH(C6,INDEX(Comm_Table,,1),0),17)),MIN(L6,INDEX(Comm_Table,MATCH(C6,INDEX(Comm_Table,,1),0),16))*INDEX(Comm_Table,MATCH(C6,INDEX(Comm_Table,,1),0),15)+MAX(0,L6-INDEX(Comm_Table,MATCH(C6,INDEX(Comm_Table,,1),0),16))*INDEX(Comm_Table,MATCH(C6,INDEX(Comm_Table,,1),0),17))),0)</f>
        <v>0</v>
      </c>
      <c r="AH6" s="31">
        <f t="shared" si="4"/>
        <v>0.02</v>
      </c>
      <c r="AI6" s="31">
        <f t="shared" si="5"/>
        <v>5.5</v>
      </c>
      <c r="AJ6" s="31">
        <f>AF6*KSA_VAT</f>
        <v>0</v>
      </c>
      <c r="AK6" s="31">
        <f t="shared" si="6"/>
        <v>0.75</v>
      </c>
      <c r="AL6" s="31">
        <f t="shared" si="21"/>
        <v>0</v>
      </c>
      <c r="AM6" s="31">
        <f t="shared" si="22"/>
        <v>0</v>
      </c>
      <c r="AN6" s="31">
        <f>(AI6+KSA_Restock)*N6</f>
        <v>0.275</v>
      </c>
      <c r="AO6" s="31">
        <f>D6+AH6+(AE6+AF6+AJ6+AI6+AK6+AM6+AN6)*KSA_Exch</f>
        <v>21.3045217391304</v>
      </c>
      <c r="AP6" s="32">
        <f t="shared" si="7"/>
        <v>0.02</v>
      </c>
      <c r="AQ6" s="32">
        <f>IFERROR(INDEX(FBP_Fees,MATCH(AA6,INDEX(FBP_Fees,,1),1),IF(FBP_DeliveryMode="Drop-off",4,5)),0)</f>
        <v>0</v>
      </c>
      <c r="AR6" s="32">
        <f t="shared" si="8"/>
        <v>12</v>
      </c>
      <c r="AS6" s="32">
        <f>AG6*KSA_VAT</f>
        <v>0</v>
      </c>
      <c r="AT6" s="32">
        <f t="shared" si="9"/>
        <v>0.75</v>
      </c>
      <c r="AU6" s="32">
        <f t="shared" si="10"/>
        <v>0</v>
      </c>
      <c r="AV6" s="32">
        <f>(AQ6+KSA_Restock)*N6</f>
        <v>0</v>
      </c>
      <c r="AW6" s="32">
        <f>D6+AP6+(AE6+AG6+AS6+AQ6+AT6+AU6+AV6)*KSA_Exch</f>
        <v>10.2165217391304</v>
      </c>
      <c r="AX6" s="33">
        <f t="shared" si="11"/>
        <v>6.5</v>
      </c>
      <c r="AY6" s="33">
        <f>IFERROR(INDEX(FBP_Fees,MATCH(AA6,INDEX(FBP_Fees,,1),1),IF(FBP_DeliveryMode="Drop-off",4,5)),0)</f>
        <v>0</v>
      </c>
      <c r="AZ6" s="33">
        <f t="shared" si="12"/>
        <v>12</v>
      </c>
      <c r="BA6" s="33">
        <f>AG6*KSA_VAT</f>
        <v>0</v>
      </c>
      <c r="BB6" s="33">
        <f t="shared" si="13"/>
        <v>0.75</v>
      </c>
      <c r="BC6" s="33">
        <f t="shared" si="14"/>
        <v>0</v>
      </c>
      <c r="BD6" s="33">
        <f>(AX6/KSA_Exch+AY6+KSA_Restock)*N6</f>
        <v>0.169270833333333</v>
      </c>
      <c r="BE6" s="33">
        <f>D6+AX6+(AE6+AG6+BA6+AY6+BB6+BC6+BD6)*KSA_Exch</f>
        <v>17.0215217391304</v>
      </c>
      <c r="BF6" s="34">
        <f>(L6/1.05/USD_AED)*USD_SAR</f>
        <v>14.5971195017517</v>
      </c>
      <c r="BG6" s="34">
        <f t="shared" si="15"/>
        <v>0.729855975087583</v>
      </c>
      <c r="BH6" s="34">
        <f>MAX(KSA_ClearanceFeeMin,MIN(KSA_ClearanceFeeMax,BF6*KSA_ClearanceFeeRate))</f>
        <v>15</v>
      </c>
      <c r="BI6" s="34">
        <f>(BF6+BG6)*KSA_VAT</f>
        <v>2.29904632152589</v>
      </c>
      <c r="BJ6" s="34">
        <f>(BF6+BG6+BH6)*(1+KSA_VAT)</f>
        <v>34.8760217983651</v>
      </c>
      <c r="BK6" s="34">
        <f>L6*CrossBorderFeeRate</f>
        <v>0.75</v>
      </c>
      <c r="BL6" s="34">
        <f t="shared" si="16"/>
        <v>0</v>
      </c>
      <c r="BM6" s="34">
        <f>BL6*UAE_VAT</f>
        <v>0</v>
      </c>
      <c r="BN6" s="34">
        <f t="shared" si="17"/>
        <v>0.75</v>
      </c>
      <c r="BO6" s="34">
        <f t="shared" si="18"/>
        <v>0</v>
      </c>
      <c r="BP6" s="34">
        <f t="shared" si="19"/>
        <v>0.901445114830673</v>
      </c>
      <c r="BQ6" s="34">
        <f>D6+AH6+(BK6+BL6+BM6+BN6+BO6+AI6)*UAE_Exch+(BP6)*KSA_Exch</f>
        <v>20.4707746204749</v>
      </c>
    </row>
    <row r="7" spans="1:69">
      <c r="A7" s="20"/>
      <c r="B7" s="20"/>
      <c r="C7" s="20"/>
      <c r="D7" s="35">
        <v>5</v>
      </c>
      <c r="E7" s="23">
        <v>800</v>
      </c>
      <c r="F7" s="23">
        <v>45</v>
      </c>
      <c r="G7" s="23">
        <v>2</v>
      </c>
      <c r="H7" s="23">
        <v>5</v>
      </c>
      <c r="I7" s="23">
        <v>5</v>
      </c>
      <c r="J7" s="23">
        <v>1</v>
      </c>
      <c r="K7" s="23">
        <v>0.01</v>
      </c>
      <c r="L7" s="23">
        <v>15</v>
      </c>
      <c r="M7" s="24">
        <v>0.05</v>
      </c>
      <c r="N7" s="24">
        <v>0.05</v>
      </c>
      <c r="O7" s="25">
        <f>L7*KSA_Exch-AO7</f>
        <v>7.49547826086956</v>
      </c>
      <c r="P7" s="26">
        <f>IF(L7&gt;0,O7/(L7*KSA_Exch),0)</f>
        <v>0.260259661835749</v>
      </c>
      <c r="Q7" s="25">
        <f>(L7+AR7)*KSA_Exch-AW7</f>
        <v>41.6234782608696</v>
      </c>
      <c r="R7" s="26">
        <f>IF(L7&gt;0,Q7/(L7*KSA_Exch),0)</f>
        <v>1.44525966183575</v>
      </c>
      <c r="S7" s="25">
        <f>(L7+AZ7)*KSA_Exch-BE7</f>
        <v>34.8184782608696</v>
      </c>
      <c r="T7" s="26">
        <f>IF(L7&gt;0,S7/(L7*KSA_Exch),0)</f>
        <v>1.20897493961353</v>
      </c>
      <c r="U7" s="25">
        <f>BF7*KSA_Exch-BQ7</f>
        <v>7.55569482288828</v>
      </c>
      <c r="V7" s="26">
        <f>IF(BF7&gt;0,U7/(BF7*KSA_Exch),0)</f>
        <v>0.269591388888889</v>
      </c>
      <c r="W7" s="27" t="str">
        <f t="shared" si="20"/>
        <v>海外仓FBP</v>
      </c>
      <c r="X7" s="25">
        <f t="shared" si="0"/>
        <v>41.6234782608696</v>
      </c>
      <c r="Y7" s="28">
        <f>GCC_DefaultDuty</f>
        <v>0.05</v>
      </c>
      <c r="Z7" s="29">
        <f t="shared" si="1"/>
        <v>0.005</v>
      </c>
      <c r="AA7" s="29">
        <f t="shared" si="2"/>
        <v>0.01</v>
      </c>
      <c r="AB7" s="29" t="str">
        <f t="shared" si="3"/>
        <v>Small Envelope</v>
      </c>
      <c r="AC7" s="29">
        <f>IFERROR(VLOOKUP(AB7,FBN_SizeTiers,5,FALSE),0)</f>
        <v>0.02</v>
      </c>
      <c r="AD7" s="29">
        <f>IFERROR(MIN(MAX(K7,Z7)+AC7,VLOOKUP(AB7,FBN_SizeTiers,6,FALSE)),0)</f>
        <v>0.03</v>
      </c>
      <c r="AE7" s="30">
        <f>L7/(1+KSA_VAT)*KSA_VAT</f>
        <v>1.95652173913043</v>
      </c>
      <c r="AF7" s="30">
        <f>IFERROR(IF(INDEX(Comm_Table,MATCH(C7,INDEX(Comm_Table,,1),0),10)="Fixed",L7*INDEX(Comm_Table,MATCH(C7,INDEX(Comm_Table,,1),0),11),IF(INDEX(Comm_Table,MATCH(C7,INDEX(Comm_Table,,1),0),10)="Threshold",IF(L7&lt;=INDEX(Comm_Table,MATCH(C7,INDEX(Comm_Table,,1),0),12),L7*INDEX(Comm_Table,MATCH(C7,INDEX(Comm_Table,,1),0),11),L7*INDEX(Comm_Table,MATCH(C7,INDEX(Comm_Table,,1),0),13)),MIN(L7,INDEX(Comm_Table,MATCH(C7,INDEX(Comm_Table,,1),0),12))*INDEX(Comm_Table,MATCH(C7,INDEX(Comm_Table,,1),0),11)+MAX(0,L7-INDEX(Comm_Table,MATCH(C7,INDEX(Comm_Table,,1),0),12))*INDEX(Comm_Table,MATCH(C7,INDEX(Comm_Table,,1),0),13))),0)</f>
        <v>0</v>
      </c>
      <c r="AG7" s="30">
        <f>IFERROR(IF(INDEX(Comm_Table,MATCH(C7,INDEX(Comm_Table,,1),0),14)="Fixed",L7*INDEX(Comm_Table,MATCH(C7,INDEX(Comm_Table,,1),0),15),IF(INDEX(Comm_Table,MATCH(C7,INDEX(Comm_Table,,1),0),14)="Threshold",IF(L7&lt;=INDEX(Comm_Table,MATCH(C7,INDEX(Comm_Table,,1),0),16),L7*INDEX(Comm_Table,MATCH(C7,INDEX(Comm_Table,,1),0),15),L7*INDEX(Comm_Table,MATCH(C7,INDEX(Comm_Table,,1),0),17)),MIN(L7,INDEX(Comm_Table,MATCH(C7,INDEX(Comm_Table,,1),0),16))*INDEX(Comm_Table,MATCH(C7,INDEX(Comm_Table,,1),0),15)+MAX(0,L7-INDEX(Comm_Table,MATCH(C7,INDEX(Comm_Table,,1),0),16))*INDEX(Comm_Table,MATCH(C7,INDEX(Comm_Table,,1),0),17))),0)</f>
        <v>0</v>
      </c>
      <c r="AH7" s="31">
        <f t="shared" si="4"/>
        <v>0.02</v>
      </c>
      <c r="AI7" s="31">
        <f t="shared" si="5"/>
        <v>5.5</v>
      </c>
      <c r="AJ7" s="31">
        <f>AF7*KSA_VAT</f>
        <v>0</v>
      </c>
      <c r="AK7" s="31">
        <f t="shared" si="6"/>
        <v>0.75</v>
      </c>
      <c r="AL7" s="31">
        <f t="shared" si="21"/>
        <v>0</v>
      </c>
      <c r="AM7" s="31">
        <f t="shared" si="22"/>
        <v>0</v>
      </c>
      <c r="AN7" s="31">
        <f>(AI7+KSA_Restock)*N7</f>
        <v>0.275</v>
      </c>
      <c r="AO7" s="31">
        <f>D7+AH7+(AE7+AF7+AJ7+AI7+AK7+AM7+AN7)*KSA_Exch</f>
        <v>21.3045217391304</v>
      </c>
      <c r="AP7" s="32">
        <f t="shared" si="7"/>
        <v>0.02</v>
      </c>
      <c r="AQ7" s="32">
        <f>IFERROR(INDEX(FBP_Fees,MATCH(AA7,INDEX(FBP_Fees,,1),1),IF(FBP_DeliveryMode="Drop-off",4,5)),0)</f>
        <v>0</v>
      </c>
      <c r="AR7" s="32">
        <f t="shared" si="8"/>
        <v>12</v>
      </c>
      <c r="AS7" s="32">
        <f>AG7*KSA_VAT</f>
        <v>0</v>
      </c>
      <c r="AT7" s="32">
        <f t="shared" si="9"/>
        <v>0.75</v>
      </c>
      <c r="AU7" s="32">
        <f t="shared" si="10"/>
        <v>0</v>
      </c>
      <c r="AV7" s="32">
        <f>(AQ7+KSA_Restock)*N7</f>
        <v>0</v>
      </c>
      <c r="AW7" s="32">
        <f>D7+AP7+(AE7+AG7+AS7+AQ7+AT7+AU7+AV7)*KSA_Exch</f>
        <v>10.2165217391304</v>
      </c>
      <c r="AX7" s="33">
        <f t="shared" si="11"/>
        <v>6.5</v>
      </c>
      <c r="AY7" s="33">
        <f>IFERROR(INDEX(FBP_Fees,MATCH(AA7,INDEX(FBP_Fees,,1),1),IF(FBP_DeliveryMode="Drop-off",4,5)),0)</f>
        <v>0</v>
      </c>
      <c r="AZ7" s="33">
        <f t="shared" si="12"/>
        <v>12</v>
      </c>
      <c r="BA7" s="33">
        <f>AG7*KSA_VAT</f>
        <v>0</v>
      </c>
      <c r="BB7" s="33">
        <f t="shared" si="13"/>
        <v>0.75</v>
      </c>
      <c r="BC7" s="33">
        <f t="shared" si="14"/>
        <v>0</v>
      </c>
      <c r="BD7" s="33">
        <f>(AX7/KSA_Exch+AY7+KSA_Restock)*N7</f>
        <v>0.169270833333333</v>
      </c>
      <c r="BE7" s="33">
        <f>D7+AX7+(AE7+AG7+BA7+AY7+BB7+BC7+BD7)*KSA_Exch</f>
        <v>17.0215217391304</v>
      </c>
      <c r="BF7" s="34">
        <f>(L7/1.05/USD_AED)*USD_SAR</f>
        <v>14.5971195017517</v>
      </c>
      <c r="BG7" s="34">
        <f t="shared" si="15"/>
        <v>0.729855975087583</v>
      </c>
      <c r="BH7" s="34">
        <f>MAX(KSA_ClearanceFeeMin,MIN(KSA_ClearanceFeeMax,BF7*KSA_ClearanceFeeRate))</f>
        <v>15</v>
      </c>
      <c r="BI7" s="34">
        <f>(BF7+BG7)*KSA_VAT</f>
        <v>2.29904632152589</v>
      </c>
      <c r="BJ7" s="34">
        <f>(BF7+BG7+BH7)*(1+KSA_VAT)</f>
        <v>34.8760217983651</v>
      </c>
      <c r="BK7" s="34">
        <f>L7*CrossBorderFeeRate</f>
        <v>0.75</v>
      </c>
      <c r="BL7" s="34">
        <f t="shared" si="16"/>
        <v>0</v>
      </c>
      <c r="BM7" s="34">
        <f>BL7*UAE_VAT</f>
        <v>0</v>
      </c>
      <c r="BN7" s="34">
        <f t="shared" si="17"/>
        <v>0.75</v>
      </c>
      <c r="BO7" s="34">
        <f t="shared" si="18"/>
        <v>0</v>
      </c>
      <c r="BP7" s="34">
        <f t="shared" si="19"/>
        <v>0.901445114830673</v>
      </c>
      <c r="BQ7" s="34">
        <f>D7+AH7+(BK7+BL7+BM7+BN7+BO7+AI7)*UAE_Exch+(BP7)*KSA_Exch</f>
        <v>20.4707746204749</v>
      </c>
    </row>
    <row r="8" spans="1:69">
      <c r="A8" s="20"/>
      <c r="B8" s="20"/>
      <c r="C8" s="20"/>
      <c r="D8" s="35">
        <v>5</v>
      </c>
      <c r="E8" s="23">
        <v>800</v>
      </c>
      <c r="F8" s="23">
        <v>45</v>
      </c>
      <c r="G8" s="23">
        <v>2</v>
      </c>
      <c r="H8" s="23">
        <v>5</v>
      </c>
      <c r="I8" s="23">
        <v>5</v>
      </c>
      <c r="J8" s="23">
        <v>1</v>
      </c>
      <c r="K8" s="23">
        <v>0.01</v>
      </c>
      <c r="L8" s="23">
        <v>15</v>
      </c>
      <c r="M8" s="24">
        <v>0.05</v>
      </c>
      <c r="N8" s="24">
        <v>0.05</v>
      </c>
      <c r="O8" s="25">
        <f>L8*KSA_Exch-AO8</f>
        <v>7.49547826086956</v>
      </c>
      <c r="P8" s="26">
        <f>IF(L8&gt;0,O8/(L8*KSA_Exch),0)</f>
        <v>0.260259661835749</v>
      </c>
      <c r="Q8" s="25">
        <f>(L8+AR8)*KSA_Exch-AW8</f>
        <v>41.6234782608696</v>
      </c>
      <c r="R8" s="26">
        <f>IF(L8&gt;0,Q8/(L8*KSA_Exch),0)</f>
        <v>1.44525966183575</v>
      </c>
      <c r="S8" s="25">
        <f>(L8+AZ8)*KSA_Exch-BE8</f>
        <v>34.8184782608696</v>
      </c>
      <c r="T8" s="26">
        <f>IF(L8&gt;0,S8/(L8*KSA_Exch),0)</f>
        <v>1.20897493961353</v>
      </c>
      <c r="U8" s="25">
        <f>BF8*KSA_Exch-BQ8</f>
        <v>7.55569482288828</v>
      </c>
      <c r="V8" s="26">
        <f>IF(BF8&gt;0,U8/(BF8*KSA_Exch),0)</f>
        <v>0.269591388888889</v>
      </c>
      <c r="W8" s="27" t="str">
        <f t="shared" si="20"/>
        <v>海外仓FBP</v>
      </c>
      <c r="X8" s="25">
        <f t="shared" si="0"/>
        <v>41.6234782608696</v>
      </c>
      <c r="Y8" s="28">
        <f>GCC_DefaultDuty</f>
        <v>0.05</v>
      </c>
      <c r="Z8" s="29">
        <f t="shared" si="1"/>
        <v>0.005</v>
      </c>
      <c r="AA8" s="29">
        <f t="shared" si="2"/>
        <v>0.01</v>
      </c>
      <c r="AB8" s="29" t="str">
        <f t="shared" si="3"/>
        <v>Small Envelope</v>
      </c>
      <c r="AC8" s="29">
        <f>IFERROR(VLOOKUP(AB8,FBN_SizeTiers,5,FALSE),0)</f>
        <v>0.02</v>
      </c>
      <c r="AD8" s="29">
        <f>IFERROR(MIN(MAX(K8,Z8)+AC8,VLOOKUP(AB8,FBN_SizeTiers,6,FALSE)),0)</f>
        <v>0.03</v>
      </c>
      <c r="AE8" s="30">
        <f>L8/(1+KSA_VAT)*KSA_VAT</f>
        <v>1.95652173913043</v>
      </c>
      <c r="AF8" s="30">
        <f>IFERROR(IF(INDEX(Comm_Table,MATCH(C8,INDEX(Comm_Table,,1),0),10)="Fixed",L8*INDEX(Comm_Table,MATCH(C8,INDEX(Comm_Table,,1),0),11),IF(INDEX(Comm_Table,MATCH(C8,INDEX(Comm_Table,,1),0),10)="Threshold",IF(L8&lt;=INDEX(Comm_Table,MATCH(C8,INDEX(Comm_Table,,1),0),12),L8*INDEX(Comm_Table,MATCH(C8,INDEX(Comm_Table,,1),0),11),L8*INDEX(Comm_Table,MATCH(C8,INDEX(Comm_Table,,1),0),13)),MIN(L8,INDEX(Comm_Table,MATCH(C8,INDEX(Comm_Table,,1),0),12))*INDEX(Comm_Table,MATCH(C8,INDEX(Comm_Table,,1),0),11)+MAX(0,L8-INDEX(Comm_Table,MATCH(C8,INDEX(Comm_Table,,1),0),12))*INDEX(Comm_Table,MATCH(C8,INDEX(Comm_Table,,1),0),13))),0)</f>
        <v>0</v>
      </c>
      <c r="AG8" s="30">
        <f>IFERROR(IF(INDEX(Comm_Table,MATCH(C8,INDEX(Comm_Table,,1),0),14)="Fixed",L8*INDEX(Comm_Table,MATCH(C8,INDEX(Comm_Table,,1),0),15),IF(INDEX(Comm_Table,MATCH(C8,INDEX(Comm_Table,,1),0),14)="Threshold",IF(L8&lt;=INDEX(Comm_Table,MATCH(C8,INDEX(Comm_Table,,1),0),16),L8*INDEX(Comm_Table,MATCH(C8,INDEX(Comm_Table,,1),0),15),L8*INDEX(Comm_Table,MATCH(C8,INDEX(Comm_Table,,1),0),17)),MIN(L8,INDEX(Comm_Table,MATCH(C8,INDEX(Comm_Table,,1),0),16))*INDEX(Comm_Table,MATCH(C8,INDEX(Comm_Table,,1),0),15)+MAX(0,L8-INDEX(Comm_Table,MATCH(C8,INDEX(Comm_Table,,1),0),16))*INDEX(Comm_Table,MATCH(C8,INDEX(Comm_Table,,1),0),17))),0)</f>
        <v>0</v>
      </c>
      <c r="AH8" s="31">
        <f t="shared" si="4"/>
        <v>0.02</v>
      </c>
      <c r="AI8" s="31">
        <f t="shared" si="5"/>
        <v>5.5</v>
      </c>
      <c r="AJ8" s="31">
        <f>AF8*KSA_VAT</f>
        <v>0</v>
      </c>
      <c r="AK8" s="31">
        <f t="shared" si="6"/>
        <v>0.75</v>
      </c>
      <c r="AL8" s="31">
        <f t="shared" si="21"/>
        <v>0</v>
      </c>
      <c r="AM8" s="31">
        <f t="shared" si="22"/>
        <v>0</v>
      </c>
      <c r="AN8" s="31">
        <f>(AI8+KSA_Restock)*N8</f>
        <v>0.275</v>
      </c>
      <c r="AO8" s="31">
        <f>D8+AH8+(AE8+AF8+AJ8+AI8+AK8+AM8+AN8)*KSA_Exch</f>
        <v>21.3045217391304</v>
      </c>
      <c r="AP8" s="32">
        <f t="shared" si="7"/>
        <v>0.02</v>
      </c>
      <c r="AQ8" s="32">
        <f>IFERROR(INDEX(FBP_Fees,MATCH(AA8,INDEX(FBP_Fees,,1),1),IF(FBP_DeliveryMode="Drop-off",4,5)),0)</f>
        <v>0</v>
      </c>
      <c r="AR8" s="32">
        <f t="shared" si="8"/>
        <v>12</v>
      </c>
      <c r="AS8" s="32">
        <f>AG8*KSA_VAT</f>
        <v>0</v>
      </c>
      <c r="AT8" s="32">
        <f t="shared" si="9"/>
        <v>0.75</v>
      </c>
      <c r="AU8" s="32">
        <f t="shared" si="10"/>
        <v>0</v>
      </c>
      <c r="AV8" s="32">
        <f>(AQ8+KSA_Restock)*N8</f>
        <v>0</v>
      </c>
      <c r="AW8" s="32">
        <f>D8+AP8+(AE8+AG8+AS8+AQ8+AT8+AU8+AV8)*KSA_Exch</f>
        <v>10.2165217391304</v>
      </c>
      <c r="AX8" s="33">
        <f t="shared" si="11"/>
        <v>6.5</v>
      </c>
      <c r="AY8" s="33">
        <f>IFERROR(INDEX(FBP_Fees,MATCH(AA8,INDEX(FBP_Fees,,1),1),IF(FBP_DeliveryMode="Drop-off",4,5)),0)</f>
        <v>0</v>
      </c>
      <c r="AZ8" s="33">
        <f t="shared" si="12"/>
        <v>12</v>
      </c>
      <c r="BA8" s="33">
        <f>AG8*KSA_VAT</f>
        <v>0</v>
      </c>
      <c r="BB8" s="33">
        <f t="shared" si="13"/>
        <v>0.75</v>
      </c>
      <c r="BC8" s="33">
        <f t="shared" si="14"/>
        <v>0</v>
      </c>
      <c r="BD8" s="33">
        <f>(AX8/KSA_Exch+AY8+KSA_Restock)*N8</f>
        <v>0.169270833333333</v>
      </c>
      <c r="BE8" s="33">
        <f>D8+AX8+(AE8+AG8+BA8+AY8+BB8+BC8+BD8)*KSA_Exch</f>
        <v>17.0215217391304</v>
      </c>
      <c r="BF8" s="34">
        <f>(L8/1.05/USD_AED)*USD_SAR</f>
        <v>14.5971195017517</v>
      </c>
      <c r="BG8" s="34">
        <f t="shared" si="15"/>
        <v>0.729855975087583</v>
      </c>
      <c r="BH8" s="34">
        <f>MAX(KSA_ClearanceFeeMin,MIN(KSA_ClearanceFeeMax,BF8*KSA_ClearanceFeeRate))</f>
        <v>15</v>
      </c>
      <c r="BI8" s="34">
        <f>(BF8+BG8)*KSA_VAT</f>
        <v>2.29904632152589</v>
      </c>
      <c r="BJ8" s="34">
        <f>(BF8+BG8+BH8)*(1+KSA_VAT)</f>
        <v>34.8760217983651</v>
      </c>
      <c r="BK8" s="34">
        <f>L8*CrossBorderFeeRate</f>
        <v>0.75</v>
      </c>
      <c r="BL8" s="34">
        <f t="shared" si="16"/>
        <v>0</v>
      </c>
      <c r="BM8" s="34">
        <f>BL8*UAE_VAT</f>
        <v>0</v>
      </c>
      <c r="BN8" s="34">
        <f t="shared" si="17"/>
        <v>0.75</v>
      </c>
      <c r="BO8" s="34">
        <f t="shared" si="18"/>
        <v>0</v>
      </c>
      <c r="BP8" s="34">
        <f t="shared" si="19"/>
        <v>0.901445114830673</v>
      </c>
      <c r="BQ8" s="34">
        <f>D8+AH8+(BK8+BL8+BM8+BN8+BO8+AI8)*UAE_Exch+(BP8)*KSA_Exch</f>
        <v>20.4707746204749</v>
      </c>
    </row>
    <row r="9" spans="1:69">
      <c r="A9" s="20"/>
      <c r="B9" s="20"/>
      <c r="C9" s="20"/>
      <c r="D9" s="35">
        <v>5</v>
      </c>
      <c r="E9" s="23">
        <v>800</v>
      </c>
      <c r="F9" s="23">
        <v>45</v>
      </c>
      <c r="G9" s="23">
        <v>2</v>
      </c>
      <c r="H9" s="23">
        <v>5</v>
      </c>
      <c r="I9" s="23">
        <v>5</v>
      </c>
      <c r="J9" s="23">
        <v>1</v>
      </c>
      <c r="K9" s="23">
        <v>0.01</v>
      </c>
      <c r="L9" s="23">
        <v>15</v>
      </c>
      <c r="M9" s="24">
        <v>0.05</v>
      </c>
      <c r="N9" s="24">
        <v>0.05</v>
      </c>
      <c r="O9" s="25">
        <f>L9*KSA_Exch-AO9</f>
        <v>7.49547826086956</v>
      </c>
      <c r="P9" s="26">
        <f>IF(L9&gt;0,O9/(L9*KSA_Exch),0)</f>
        <v>0.260259661835749</v>
      </c>
      <c r="Q9" s="25">
        <f>(L9+AR9)*KSA_Exch-AW9</f>
        <v>41.6234782608696</v>
      </c>
      <c r="R9" s="26">
        <f>IF(L9&gt;0,Q9/(L9*KSA_Exch),0)</f>
        <v>1.44525966183575</v>
      </c>
      <c r="S9" s="25">
        <f>(L9+AZ9)*KSA_Exch-BE9</f>
        <v>34.8184782608696</v>
      </c>
      <c r="T9" s="26">
        <f>IF(L9&gt;0,S9/(L9*KSA_Exch),0)</f>
        <v>1.20897493961353</v>
      </c>
      <c r="U9" s="25">
        <f>BF9*KSA_Exch-BQ9</f>
        <v>7.55569482288828</v>
      </c>
      <c r="V9" s="26">
        <f>IF(BF9&gt;0,U9/(BF9*KSA_Exch),0)</f>
        <v>0.269591388888889</v>
      </c>
      <c r="W9" s="27" t="str">
        <f t="shared" si="20"/>
        <v>海外仓FBP</v>
      </c>
      <c r="X9" s="25">
        <f t="shared" si="0"/>
        <v>41.6234782608696</v>
      </c>
      <c r="Y9" s="28">
        <f>GCC_DefaultDuty</f>
        <v>0.05</v>
      </c>
      <c r="Z9" s="29">
        <f t="shared" si="1"/>
        <v>0.005</v>
      </c>
      <c r="AA9" s="29">
        <f t="shared" si="2"/>
        <v>0.01</v>
      </c>
      <c r="AB9" s="29" t="str">
        <f t="shared" si="3"/>
        <v>Small Envelope</v>
      </c>
      <c r="AC9" s="29">
        <f>IFERROR(VLOOKUP(AB9,FBN_SizeTiers,5,FALSE),0)</f>
        <v>0.02</v>
      </c>
      <c r="AD9" s="29">
        <f>IFERROR(MIN(MAX(K9,Z9)+AC9,VLOOKUP(AB9,FBN_SizeTiers,6,FALSE)),0)</f>
        <v>0.03</v>
      </c>
      <c r="AE9" s="30">
        <f>L9/(1+KSA_VAT)*KSA_VAT</f>
        <v>1.95652173913043</v>
      </c>
      <c r="AF9" s="30">
        <f>IFERROR(IF(INDEX(Comm_Table,MATCH(C9,INDEX(Comm_Table,,1),0),10)="Fixed",L9*INDEX(Comm_Table,MATCH(C9,INDEX(Comm_Table,,1),0),11),IF(INDEX(Comm_Table,MATCH(C9,INDEX(Comm_Table,,1),0),10)="Threshold",IF(L9&lt;=INDEX(Comm_Table,MATCH(C9,INDEX(Comm_Table,,1),0),12),L9*INDEX(Comm_Table,MATCH(C9,INDEX(Comm_Table,,1),0),11),L9*INDEX(Comm_Table,MATCH(C9,INDEX(Comm_Table,,1),0),13)),MIN(L9,INDEX(Comm_Table,MATCH(C9,INDEX(Comm_Table,,1),0),12))*INDEX(Comm_Table,MATCH(C9,INDEX(Comm_Table,,1),0),11)+MAX(0,L9-INDEX(Comm_Table,MATCH(C9,INDEX(Comm_Table,,1),0),12))*INDEX(Comm_Table,MATCH(C9,INDEX(Comm_Table,,1),0),13))),0)</f>
        <v>0</v>
      </c>
      <c r="AG9" s="30">
        <f>IFERROR(IF(INDEX(Comm_Table,MATCH(C9,INDEX(Comm_Table,,1),0),14)="Fixed",L9*INDEX(Comm_Table,MATCH(C9,INDEX(Comm_Table,,1),0),15),IF(INDEX(Comm_Table,MATCH(C9,INDEX(Comm_Table,,1),0),14)="Threshold",IF(L9&lt;=INDEX(Comm_Table,MATCH(C9,INDEX(Comm_Table,,1),0),16),L9*INDEX(Comm_Table,MATCH(C9,INDEX(Comm_Table,,1),0),15),L9*INDEX(Comm_Table,MATCH(C9,INDEX(Comm_Table,,1),0),17)),MIN(L9,INDEX(Comm_Table,MATCH(C9,INDEX(Comm_Table,,1),0),16))*INDEX(Comm_Table,MATCH(C9,INDEX(Comm_Table,,1),0),15)+MAX(0,L9-INDEX(Comm_Table,MATCH(C9,INDEX(Comm_Table,,1),0),16))*INDEX(Comm_Table,MATCH(C9,INDEX(Comm_Table,,1),0),17))),0)</f>
        <v>0</v>
      </c>
      <c r="AH9" s="31">
        <f t="shared" si="4"/>
        <v>0.02</v>
      </c>
      <c r="AI9" s="31">
        <f t="shared" si="5"/>
        <v>5.5</v>
      </c>
      <c r="AJ9" s="31">
        <f>AF9*KSA_VAT</f>
        <v>0</v>
      </c>
      <c r="AK9" s="31">
        <f t="shared" si="6"/>
        <v>0.75</v>
      </c>
      <c r="AL9" s="31">
        <f t="shared" si="21"/>
        <v>0</v>
      </c>
      <c r="AM9" s="31">
        <f t="shared" si="22"/>
        <v>0</v>
      </c>
      <c r="AN9" s="31">
        <f>(AI9+KSA_Restock)*N9</f>
        <v>0.275</v>
      </c>
      <c r="AO9" s="31">
        <f>D9+AH9+(AE9+AF9+AJ9+AI9+AK9+AM9+AN9)*KSA_Exch</f>
        <v>21.3045217391304</v>
      </c>
      <c r="AP9" s="32">
        <f t="shared" si="7"/>
        <v>0.02</v>
      </c>
      <c r="AQ9" s="32">
        <f>IFERROR(INDEX(FBP_Fees,MATCH(AA9,INDEX(FBP_Fees,,1),1),IF(FBP_DeliveryMode="Drop-off",4,5)),0)</f>
        <v>0</v>
      </c>
      <c r="AR9" s="32">
        <f t="shared" si="8"/>
        <v>12</v>
      </c>
      <c r="AS9" s="32">
        <f>AG9*KSA_VAT</f>
        <v>0</v>
      </c>
      <c r="AT9" s="32">
        <f t="shared" si="9"/>
        <v>0.75</v>
      </c>
      <c r="AU9" s="32">
        <f t="shared" si="10"/>
        <v>0</v>
      </c>
      <c r="AV9" s="32">
        <f>(AQ9+KSA_Restock)*N9</f>
        <v>0</v>
      </c>
      <c r="AW9" s="32">
        <f>D9+AP9+(AE9+AG9+AS9+AQ9+AT9+AU9+AV9)*KSA_Exch</f>
        <v>10.2165217391304</v>
      </c>
      <c r="AX9" s="33">
        <f t="shared" si="11"/>
        <v>6.5</v>
      </c>
      <c r="AY9" s="33">
        <f>IFERROR(INDEX(FBP_Fees,MATCH(AA9,INDEX(FBP_Fees,,1),1),IF(FBP_DeliveryMode="Drop-off",4,5)),0)</f>
        <v>0</v>
      </c>
      <c r="AZ9" s="33">
        <f t="shared" si="12"/>
        <v>12</v>
      </c>
      <c r="BA9" s="33">
        <f>AG9*KSA_VAT</f>
        <v>0</v>
      </c>
      <c r="BB9" s="33">
        <f t="shared" si="13"/>
        <v>0.75</v>
      </c>
      <c r="BC9" s="33">
        <f t="shared" si="14"/>
        <v>0</v>
      </c>
      <c r="BD9" s="33">
        <f>(AX9/KSA_Exch+AY9+KSA_Restock)*N9</f>
        <v>0.169270833333333</v>
      </c>
      <c r="BE9" s="33">
        <f>D9+AX9+(AE9+AG9+BA9+AY9+BB9+BC9+BD9)*KSA_Exch</f>
        <v>17.0215217391304</v>
      </c>
      <c r="BF9" s="34">
        <f>(L9/1.05/USD_AED)*USD_SAR</f>
        <v>14.5971195017517</v>
      </c>
      <c r="BG9" s="34">
        <f t="shared" si="15"/>
        <v>0.729855975087583</v>
      </c>
      <c r="BH9" s="34">
        <f>MAX(KSA_ClearanceFeeMin,MIN(KSA_ClearanceFeeMax,BF9*KSA_ClearanceFeeRate))</f>
        <v>15</v>
      </c>
      <c r="BI9" s="34">
        <f>(BF9+BG9)*KSA_VAT</f>
        <v>2.29904632152589</v>
      </c>
      <c r="BJ9" s="34">
        <f>(BF9+BG9+BH9)*(1+KSA_VAT)</f>
        <v>34.8760217983651</v>
      </c>
      <c r="BK9" s="34">
        <f>L9*CrossBorderFeeRate</f>
        <v>0.75</v>
      </c>
      <c r="BL9" s="34">
        <f t="shared" si="16"/>
        <v>0</v>
      </c>
      <c r="BM9" s="34">
        <f>BL9*UAE_VAT</f>
        <v>0</v>
      </c>
      <c r="BN9" s="34">
        <f t="shared" si="17"/>
        <v>0.75</v>
      </c>
      <c r="BO9" s="34">
        <f t="shared" si="18"/>
        <v>0</v>
      </c>
      <c r="BP9" s="34">
        <f t="shared" si="19"/>
        <v>0.901445114830673</v>
      </c>
      <c r="BQ9" s="34">
        <f>D9+AH9+(BK9+BL9+BM9+BN9+BO9+AI9)*UAE_Exch+(BP9)*KSA_Exch</f>
        <v>20.4707746204749</v>
      </c>
    </row>
    <row r="10" spans="1:69">
      <c r="A10" s="20"/>
      <c r="B10" s="20"/>
      <c r="C10" s="20"/>
      <c r="D10" s="35">
        <v>5</v>
      </c>
      <c r="E10" s="23">
        <v>800</v>
      </c>
      <c r="F10" s="23">
        <v>45</v>
      </c>
      <c r="G10" s="23">
        <v>2</v>
      </c>
      <c r="H10" s="23">
        <v>5</v>
      </c>
      <c r="I10" s="23">
        <v>5</v>
      </c>
      <c r="J10" s="23">
        <v>1</v>
      </c>
      <c r="K10" s="23">
        <v>0.01</v>
      </c>
      <c r="L10" s="23">
        <v>15</v>
      </c>
      <c r="M10" s="24">
        <v>0.05</v>
      </c>
      <c r="N10" s="24">
        <v>0.05</v>
      </c>
      <c r="O10" s="25">
        <f>L10*KSA_Exch-AO10</f>
        <v>7.49547826086956</v>
      </c>
      <c r="P10" s="26">
        <f>IF(L10&gt;0,O10/(L10*KSA_Exch),0)</f>
        <v>0.260259661835749</v>
      </c>
      <c r="Q10" s="25">
        <f>(L10+AR10)*KSA_Exch-AW10</f>
        <v>41.6234782608696</v>
      </c>
      <c r="R10" s="26">
        <f>IF(L10&gt;0,Q10/(L10*KSA_Exch),0)</f>
        <v>1.44525966183575</v>
      </c>
      <c r="S10" s="25">
        <f>(L10+AZ10)*KSA_Exch-BE10</f>
        <v>34.8184782608696</v>
      </c>
      <c r="T10" s="26">
        <f>IF(L10&gt;0,S10/(L10*KSA_Exch),0)</f>
        <v>1.20897493961353</v>
      </c>
      <c r="U10" s="25">
        <f>BF10*KSA_Exch-BQ10</f>
        <v>7.55569482288828</v>
      </c>
      <c r="V10" s="26">
        <f>IF(BF10&gt;0,U10/(BF10*KSA_Exch),0)</f>
        <v>0.269591388888889</v>
      </c>
      <c r="W10" s="27" t="str">
        <f t="shared" si="20"/>
        <v>海外仓FBP</v>
      </c>
      <c r="X10" s="25">
        <f t="shared" si="0"/>
        <v>41.6234782608696</v>
      </c>
      <c r="Y10" s="28">
        <f>GCC_DefaultDuty</f>
        <v>0.05</v>
      </c>
      <c r="Z10" s="29">
        <f t="shared" si="1"/>
        <v>0.005</v>
      </c>
      <c r="AA10" s="29">
        <f t="shared" si="2"/>
        <v>0.01</v>
      </c>
      <c r="AB10" s="29" t="str">
        <f t="shared" si="3"/>
        <v>Small Envelope</v>
      </c>
      <c r="AC10" s="29">
        <f>IFERROR(VLOOKUP(AB10,FBN_SizeTiers,5,FALSE),0)</f>
        <v>0.02</v>
      </c>
      <c r="AD10" s="29">
        <f>IFERROR(MIN(MAX(K10,Z10)+AC10,VLOOKUP(AB10,FBN_SizeTiers,6,FALSE)),0)</f>
        <v>0.03</v>
      </c>
      <c r="AE10" s="30">
        <f>L10/(1+KSA_VAT)*KSA_VAT</f>
        <v>1.95652173913043</v>
      </c>
      <c r="AF10" s="30">
        <f>IFERROR(IF(INDEX(Comm_Table,MATCH(C10,INDEX(Comm_Table,,1),0),10)="Fixed",L10*INDEX(Comm_Table,MATCH(C10,INDEX(Comm_Table,,1),0),11),IF(INDEX(Comm_Table,MATCH(C10,INDEX(Comm_Table,,1),0),10)="Threshold",IF(L10&lt;=INDEX(Comm_Table,MATCH(C10,INDEX(Comm_Table,,1),0),12),L10*INDEX(Comm_Table,MATCH(C10,INDEX(Comm_Table,,1),0),11),L10*INDEX(Comm_Table,MATCH(C10,INDEX(Comm_Table,,1),0),13)),MIN(L10,INDEX(Comm_Table,MATCH(C10,INDEX(Comm_Table,,1),0),12))*INDEX(Comm_Table,MATCH(C10,INDEX(Comm_Table,,1),0),11)+MAX(0,L10-INDEX(Comm_Table,MATCH(C10,INDEX(Comm_Table,,1),0),12))*INDEX(Comm_Table,MATCH(C10,INDEX(Comm_Table,,1),0),13))),0)</f>
        <v>0</v>
      </c>
      <c r="AG10" s="30">
        <f>IFERROR(IF(INDEX(Comm_Table,MATCH(C10,INDEX(Comm_Table,,1),0),14)="Fixed",L10*INDEX(Comm_Table,MATCH(C10,INDEX(Comm_Table,,1),0),15),IF(INDEX(Comm_Table,MATCH(C10,INDEX(Comm_Table,,1),0),14)="Threshold",IF(L10&lt;=INDEX(Comm_Table,MATCH(C10,INDEX(Comm_Table,,1),0),16),L10*INDEX(Comm_Table,MATCH(C10,INDEX(Comm_Table,,1),0),15),L10*INDEX(Comm_Table,MATCH(C10,INDEX(Comm_Table,,1),0),17)),MIN(L10,INDEX(Comm_Table,MATCH(C10,INDEX(Comm_Table,,1),0),16))*INDEX(Comm_Table,MATCH(C10,INDEX(Comm_Table,,1),0),15)+MAX(0,L10-INDEX(Comm_Table,MATCH(C10,INDEX(Comm_Table,,1),0),16))*INDEX(Comm_Table,MATCH(C10,INDEX(Comm_Table,,1),0),17))),0)</f>
        <v>0</v>
      </c>
      <c r="AH10" s="31">
        <f t="shared" si="4"/>
        <v>0.02</v>
      </c>
      <c r="AI10" s="31">
        <f t="shared" si="5"/>
        <v>5.5</v>
      </c>
      <c r="AJ10" s="31">
        <f>AF10*KSA_VAT</f>
        <v>0</v>
      </c>
      <c r="AK10" s="31">
        <f t="shared" si="6"/>
        <v>0.75</v>
      </c>
      <c r="AL10" s="31">
        <f t="shared" si="21"/>
        <v>0</v>
      </c>
      <c r="AM10" s="31">
        <f t="shared" si="22"/>
        <v>0</v>
      </c>
      <c r="AN10" s="31">
        <f>(AI10+KSA_Restock)*N10</f>
        <v>0.275</v>
      </c>
      <c r="AO10" s="31">
        <f>D10+AH10+(AE10+AF10+AJ10+AI10+AK10+AM10+AN10)*KSA_Exch</f>
        <v>21.3045217391304</v>
      </c>
      <c r="AP10" s="32">
        <f t="shared" si="7"/>
        <v>0.02</v>
      </c>
      <c r="AQ10" s="32">
        <f>IFERROR(INDEX(FBP_Fees,MATCH(AA10,INDEX(FBP_Fees,,1),1),IF(FBP_DeliveryMode="Drop-off",4,5)),0)</f>
        <v>0</v>
      </c>
      <c r="AR10" s="32">
        <f t="shared" si="8"/>
        <v>12</v>
      </c>
      <c r="AS10" s="32">
        <f>AG10*KSA_VAT</f>
        <v>0</v>
      </c>
      <c r="AT10" s="32">
        <f t="shared" si="9"/>
        <v>0.75</v>
      </c>
      <c r="AU10" s="32">
        <f t="shared" si="10"/>
        <v>0</v>
      </c>
      <c r="AV10" s="32">
        <f>(AQ10+KSA_Restock)*N10</f>
        <v>0</v>
      </c>
      <c r="AW10" s="32">
        <f>D10+AP10+(AE10+AG10+AS10+AQ10+AT10+AU10+AV10)*KSA_Exch</f>
        <v>10.2165217391304</v>
      </c>
      <c r="AX10" s="33">
        <f t="shared" si="11"/>
        <v>6.5</v>
      </c>
      <c r="AY10" s="33">
        <f>IFERROR(INDEX(FBP_Fees,MATCH(AA10,INDEX(FBP_Fees,,1),1),IF(FBP_DeliveryMode="Drop-off",4,5)),0)</f>
        <v>0</v>
      </c>
      <c r="AZ10" s="33">
        <f t="shared" si="12"/>
        <v>12</v>
      </c>
      <c r="BA10" s="33">
        <f>AG10*KSA_VAT</f>
        <v>0</v>
      </c>
      <c r="BB10" s="33">
        <f t="shared" si="13"/>
        <v>0.75</v>
      </c>
      <c r="BC10" s="33">
        <f t="shared" si="14"/>
        <v>0</v>
      </c>
      <c r="BD10" s="33">
        <f>(AX10/KSA_Exch+AY10+KSA_Restock)*N10</f>
        <v>0.169270833333333</v>
      </c>
      <c r="BE10" s="33">
        <f>D10+AX10+(AE10+AG10+BA10+AY10+BB10+BC10+BD10)*KSA_Exch</f>
        <v>17.0215217391304</v>
      </c>
      <c r="BF10" s="34">
        <f>(L10/1.05/USD_AED)*USD_SAR</f>
        <v>14.5971195017517</v>
      </c>
      <c r="BG10" s="34">
        <f t="shared" si="15"/>
        <v>0.729855975087583</v>
      </c>
      <c r="BH10" s="34">
        <f>MAX(KSA_ClearanceFeeMin,MIN(KSA_ClearanceFeeMax,BF10*KSA_ClearanceFeeRate))</f>
        <v>15</v>
      </c>
      <c r="BI10" s="34">
        <f>(BF10+BG10)*KSA_VAT</f>
        <v>2.29904632152589</v>
      </c>
      <c r="BJ10" s="34">
        <f>(BF10+BG10+BH10)*(1+KSA_VAT)</f>
        <v>34.8760217983651</v>
      </c>
      <c r="BK10" s="34">
        <f>L10*CrossBorderFeeRate</f>
        <v>0.75</v>
      </c>
      <c r="BL10" s="34">
        <f t="shared" si="16"/>
        <v>0</v>
      </c>
      <c r="BM10" s="34">
        <f>BL10*UAE_VAT</f>
        <v>0</v>
      </c>
      <c r="BN10" s="34">
        <f t="shared" si="17"/>
        <v>0.75</v>
      </c>
      <c r="BO10" s="34">
        <f t="shared" si="18"/>
        <v>0</v>
      </c>
      <c r="BP10" s="34">
        <f t="shared" si="19"/>
        <v>0.901445114830673</v>
      </c>
      <c r="BQ10" s="34">
        <f>D10+AH10+(BK10+BL10+BM10+BN10+BO10+AI10)*UAE_Exch+(BP10)*KSA_Exch</f>
        <v>20.4707746204749</v>
      </c>
    </row>
    <row r="11" spans="1:69">
      <c r="A11" s="20"/>
      <c r="B11" s="20"/>
      <c r="C11" s="20"/>
      <c r="D11" s="35">
        <v>5</v>
      </c>
      <c r="E11" s="23">
        <v>800</v>
      </c>
      <c r="F11" s="23">
        <v>45</v>
      </c>
      <c r="G11" s="23">
        <v>2</v>
      </c>
      <c r="H11" s="23">
        <v>5</v>
      </c>
      <c r="I11" s="23">
        <v>5</v>
      </c>
      <c r="J11" s="23">
        <v>1</v>
      </c>
      <c r="K11" s="23">
        <v>0.01</v>
      </c>
      <c r="L11" s="23">
        <v>15</v>
      </c>
      <c r="M11" s="24">
        <v>0.05</v>
      </c>
      <c r="N11" s="24">
        <v>0.05</v>
      </c>
      <c r="O11" s="25">
        <f>L11*KSA_Exch-AO11</f>
        <v>7.49547826086956</v>
      </c>
      <c r="P11" s="26">
        <f>IF(L11&gt;0,O11/(L11*KSA_Exch),0)</f>
        <v>0.260259661835749</v>
      </c>
      <c r="Q11" s="25">
        <f>(L11+AR11)*KSA_Exch-AW11</f>
        <v>41.6234782608696</v>
      </c>
      <c r="R11" s="26">
        <f>IF(L11&gt;0,Q11/(L11*KSA_Exch),0)</f>
        <v>1.44525966183575</v>
      </c>
      <c r="S11" s="25">
        <f>(L11+AZ11)*KSA_Exch-BE11</f>
        <v>34.8184782608696</v>
      </c>
      <c r="T11" s="26">
        <f>IF(L11&gt;0,S11/(L11*KSA_Exch),0)</f>
        <v>1.20897493961353</v>
      </c>
      <c r="U11" s="25">
        <f>BF11*KSA_Exch-BQ11</f>
        <v>7.55569482288828</v>
      </c>
      <c r="V11" s="26">
        <f>IF(BF11&gt;0,U11/(BF11*KSA_Exch),0)</f>
        <v>0.269591388888889</v>
      </c>
      <c r="W11" s="27" t="str">
        <f t="shared" si="20"/>
        <v>海外仓FBP</v>
      </c>
      <c r="X11" s="25">
        <f t="shared" si="0"/>
        <v>41.6234782608696</v>
      </c>
      <c r="Y11" s="28">
        <f>GCC_DefaultDuty</f>
        <v>0.05</v>
      </c>
      <c r="Z11" s="29">
        <f t="shared" si="1"/>
        <v>0.005</v>
      </c>
      <c r="AA11" s="29">
        <f t="shared" si="2"/>
        <v>0.01</v>
      </c>
      <c r="AB11" s="29" t="str">
        <f t="shared" si="3"/>
        <v>Small Envelope</v>
      </c>
      <c r="AC11" s="29">
        <f>IFERROR(VLOOKUP(AB11,FBN_SizeTiers,5,FALSE),0)</f>
        <v>0.02</v>
      </c>
      <c r="AD11" s="29">
        <f>IFERROR(MIN(MAX(K11,Z11)+AC11,VLOOKUP(AB11,FBN_SizeTiers,6,FALSE)),0)</f>
        <v>0.03</v>
      </c>
      <c r="AE11" s="30">
        <f>L11/(1+KSA_VAT)*KSA_VAT</f>
        <v>1.95652173913043</v>
      </c>
      <c r="AF11" s="30">
        <f>IFERROR(IF(INDEX(Comm_Table,MATCH(C11,INDEX(Comm_Table,,1),0),10)="Fixed",L11*INDEX(Comm_Table,MATCH(C11,INDEX(Comm_Table,,1),0),11),IF(INDEX(Comm_Table,MATCH(C11,INDEX(Comm_Table,,1),0),10)="Threshold",IF(L11&lt;=INDEX(Comm_Table,MATCH(C11,INDEX(Comm_Table,,1),0),12),L11*INDEX(Comm_Table,MATCH(C11,INDEX(Comm_Table,,1),0),11),L11*INDEX(Comm_Table,MATCH(C11,INDEX(Comm_Table,,1),0),13)),MIN(L11,INDEX(Comm_Table,MATCH(C11,INDEX(Comm_Table,,1),0),12))*INDEX(Comm_Table,MATCH(C11,INDEX(Comm_Table,,1),0),11)+MAX(0,L11-INDEX(Comm_Table,MATCH(C11,INDEX(Comm_Table,,1),0),12))*INDEX(Comm_Table,MATCH(C11,INDEX(Comm_Table,,1),0),13))),0)</f>
        <v>0</v>
      </c>
      <c r="AG11" s="30">
        <f>IFERROR(IF(INDEX(Comm_Table,MATCH(C11,INDEX(Comm_Table,,1),0),14)="Fixed",L11*INDEX(Comm_Table,MATCH(C11,INDEX(Comm_Table,,1),0),15),IF(INDEX(Comm_Table,MATCH(C11,INDEX(Comm_Table,,1),0),14)="Threshold",IF(L11&lt;=INDEX(Comm_Table,MATCH(C11,INDEX(Comm_Table,,1),0),16),L11*INDEX(Comm_Table,MATCH(C11,INDEX(Comm_Table,,1),0),15),L11*INDEX(Comm_Table,MATCH(C11,INDEX(Comm_Table,,1),0),17)),MIN(L11,INDEX(Comm_Table,MATCH(C11,INDEX(Comm_Table,,1),0),16))*INDEX(Comm_Table,MATCH(C11,INDEX(Comm_Table,,1),0),15)+MAX(0,L11-INDEX(Comm_Table,MATCH(C11,INDEX(Comm_Table,,1),0),16))*INDEX(Comm_Table,MATCH(C11,INDEX(Comm_Table,,1),0),17))),0)</f>
        <v>0</v>
      </c>
      <c r="AH11" s="31">
        <f t="shared" si="4"/>
        <v>0.02</v>
      </c>
      <c r="AI11" s="31">
        <f t="shared" si="5"/>
        <v>5.5</v>
      </c>
      <c r="AJ11" s="31">
        <f>AF11*KSA_VAT</f>
        <v>0</v>
      </c>
      <c r="AK11" s="31">
        <f t="shared" si="6"/>
        <v>0.75</v>
      </c>
      <c r="AL11" s="31">
        <f t="shared" si="21"/>
        <v>0</v>
      </c>
      <c r="AM11" s="31">
        <f t="shared" si="22"/>
        <v>0</v>
      </c>
      <c r="AN11" s="31">
        <f>(AI11+KSA_Restock)*N11</f>
        <v>0.275</v>
      </c>
      <c r="AO11" s="31">
        <f>D11+AH11+(AE11+AF11+AJ11+AI11+AK11+AM11+AN11)*KSA_Exch</f>
        <v>21.3045217391304</v>
      </c>
      <c r="AP11" s="32">
        <f t="shared" si="7"/>
        <v>0.02</v>
      </c>
      <c r="AQ11" s="32">
        <f>IFERROR(INDEX(FBP_Fees,MATCH(AA11,INDEX(FBP_Fees,,1),1),IF(FBP_DeliveryMode="Drop-off",4,5)),0)</f>
        <v>0</v>
      </c>
      <c r="AR11" s="32">
        <f t="shared" si="8"/>
        <v>12</v>
      </c>
      <c r="AS11" s="32">
        <f>AG11*KSA_VAT</f>
        <v>0</v>
      </c>
      <c r="AT11" s="32">
        <f t="shared" si="9"/>
        <v>0.75</v>
      </c>
      <c r="AU11" s="32">
        <f t="shared" si="10"/>
        <v>0</v>
      </c>
      <c r="AV11" s="32">
        <f>(AQ11+KSA_Restock)*N11</f>
        <v>0</v>
      </c>
      <c r="AW11" s="32">
        <f>D11+AP11+(AE11+AG11+AS11+AQ11+AT11+AU11+AV11)*KSA_Exch</f>
        <v>10.2165217391304</v>
      </c>
      <c r="AX11" s="33">
        <f t="shared" si="11"/>
        <v>6.5</v>
      </c>
      <c r="AY11" s="33">
        <f>IFERROR(INDEX(FBP_Fees,MATCH(AA11,INDEX(FBP_Fees,,1),1),IF(FBP_DeliveryMode="Drop-off",4,5)),0)</f>
        <v>0</v>
      </c>
      <c r="AZ11" s="33">
        <f t="shared" si="12"/>
        <v>12</v>
      </c>
      <c r="BA11" s="33">
        <f>AG11*KSA_VAT</f>
        <v>0</v>
      </c>
      <c r="BB11" s="33">
        <f t="shared" si="13"/>
        <v>0.75</v>
      </c>
      <c r="BC11" s="33">
        <f t="shared" si="14"/>
        <v>0</v>
      </c>
      <c r="BD11" s="33">
        <f>(AX11/KSA_Exch+AY11+KSA_Restock)*N11</f>
        <v>0.169270833333333</v>
      </c>
      <c r="BE11" s="33">
        <f>D11+AX11+(AE11+AG11+BA11+AY11+BB11+BC11+BD11)*KSA_Exch</f>
        <v>17.0215217391304</v>
      </c>
      <c r="BF11" s="34">
        <f>(L11/1.05/USD_AED)*USD_SAR</f>
        <v>14.5971195017517</v>
      </c>
      <c r="BG11" s="34">
        <f t="shared" si="15"/>
        <v>0.729855975087583</v>
      </c>
      <c r="BH11" s="34">
        <f>MAX(KSA_ClearanceFeeMin,MIN(KSA_ClearanceFeeMax,BF11*KSA_ClearanceFeeRate))</f>
        <v>15</v>
      </c>
      <c r="BI11" s="34">
        <f>(BF11+BG11)*KSA_VAT</f>
        <v>2.29904632152589</v>
      </c>
      <c r="BJ11" s="34">
        <f>(BF11+BG11+BH11)*(1+KSA_VAT)</f>
        <v>34.8760217983651</v>
      </c>
      <c r="BK11" s="34">
        <f>L11*CrossBorderFeeRate</f>
        <v>0.75</v>
      </c>
      <c r="BL11" s="34">
        <f t="shared" si="16"/>
        <v>0</v>
      </c>
      <c r="BM11" s="34">
        <f>BL11*UAE_VAT</f>
        <v>0</v>
      </c>
      <c r="BN11" s="34">
        <f t="shared" si="17"/>
        <v>0.75</v>
      </c>
      <c r="BO11" s="34">
        <f t="shared" si="18"/>
        <v>0</v>
      </c>
      <c r="BP11" s="34">
        <f t="shared" si="19"/>
        <v>0.901445114830673</v>
      </c>
      <c r="BQ11" s="34">
        <f>D11+AH11+(BK11+BL11+BM11+BN11+BO11+AI11)*UAE_Exch+(BP11)*KSA_Exch</f>
        <v>20.4707746204749</v>
      </c>
    </row>
    <row r="12" spans="1:69">
      <c r="A12" s="20"/>
      <c r="B12" s="20"/>
      <c r="C12" s="20"/>
      <c r="D12" s="35">
        <v>5</v>
      </c>
      <c r="E12" s="23">
        <v>800</v>
      </c>
      <c r="F12" s="23">
        <v>45</v>
      </c>
      <c r="G12" s="23">
        <v>2</v>
      </c>
      <c r="H12" s="23">
        <v>5</v>
      </c>
      <c r="I12" s="23">
        <v>5</v>
      </c>
      <c r="J12" s="23">
        <v>1</v>
      </c>
      <c r="K12" s="23">
        <v>0.01</v>
      </c>
      <c r="L12" s="23">
        <v>15</v>
      </c>
      <c r="M12" s="24">
        <v>0.05</v>
      </c>
      <c r="N12" s="24">
        <v>0.05</v>
      </c>
      <c r="O12" s="25">
        <f>L12*KSA_Exch-AO12</f>
        <v>7.49547826086956</v>
      </c>
      <c r="P12" s="26">
        <f>IF(L12&gt;0,O12/(L12*KSA_Exch),0)</f>
        <v>0.260259661835749</v>
      </c>
      <c r="Q12" s="25">
        <f>(L12+AR12)*KSA_Exch-AW12</f>
        <v>41.6234782608696</v>
      </c>
      <c r="R12" s="26">
        <f>IF(L12&gt;0,Q12/(L12*KSA_Exch),0)</f>
        <v>1.44525966183575</v>
      </c>
      <c r="S12" s="25">
        <f>(L12+AZ12)*KSA_Exch-BE12</f>
        <v>34.8184782608696</v>
      </c>
      <c r="T12" s="26">
        <f>IF(L12&gt;0,S12/(L12*KSA_Exch),0)</f>
        <v>1.20897493961353</v>
      </c>
      <c r="U12" s="25">
        <f>BF12*KSA_Exch-BQ12</f>
        <v>7.55569482288828</v>
      </c>
      <c r="V12" s="26">
        <f>IF(BF12&gt;0,U12/(BF12*KSA_Exch),0)</f>
        <v>0.269591388888889</v>
      </c>
      <c r="W12" s="27" t="str">
        <f t="shared" si="20"/>
        <v>海外仓FBP</v>
      </c>
      <c r="X12" s="25">
        <f t="shared" si="0"/>
        <v>41.6234782608696</v>
      </c>
      <c r="Y12" s="28">
        <f>GCC_DefaultDuty</f>
        <v>0.05</v>
      </c>
      <c r="Z12" s="29">
        <f t="shared" si="1"/>
        <v>0.005</v>
      </c>
      <c r="AA12" s="29">
        <f t="shared" si="2"/>
        <v>0.01</v>
      </c>
      <c r="AB12" s="29" t="str">
        <f t="shared" si="3"/>
        <v>Small Envelope</v>
      </c>
      <c r="AC12" s="29">
        <f>IFERROR(VLOOKUP(AB12,FBN_SizeTiers,5,FALSE),0)</f>
        <v>0.02</v>
      </c>
      <c r="AD12" s="29">
        <f>IFERROR(MIN(MAX(K12,Z12)+AC12,VLOOKUP(AB12,FBN_SizeTiers,6,FALSE)),0)</f>
        <v>0.03</v>
      </c>
      <c r="AE12" s="30">
        <f>L12/(1+KSA_VAT)*KSA_VAT</f>
        <v>1.95652173913043</v>
      </c>
      <c r="AF12" s="30">
        <f>IFERROR(IF(INDEX(Comm_Table,MATCH(C12,INDEX(Comm_Table,,1),0),10)="Fixed",L12*INDEX(Comm_Table,MATCH(C12,INDEX(Comm_Table,,1),0),11),IF(INDEX(Comm_Table,MATCH(C12,INDEX(Comm_Table,,1),0),10)="Threshold",IF(L12&lt;=INDEX(Comm_Table,MATCH(C12,INDEX(Comm_Table,,1),0),12),L12*INDEX(Comm_Table,MATCH(C12,INDEX(Comm_Table,,1),0),11),L12*INDEX(Comm_Table,MATCH(C12,INDEX(Comm_Table,,1),0),13)),MIN(L12,INDEX(Comm_Table,MATCH(C12,INDEX(Comm_Table,,1),0),12))*INDEX(Comm_Table,MATCH(C12,INDEX(Comm_Table,,1),0),11)+MAX(0,L12-INDEX(Comm_Table,MATCH(C12,INDEX(Comm_Table,,1),0),12))*INDEX(Comm_Table,MATCH(C12,INDEX(Comm_Table,,1),0),13))),0)</f>
        <v>0</v>
      </c>
      <c r="AG12" s="30">
        <f>IFERROR(IF(INDEX(Comm_Table,MATCH(C12,INDEX(Comm_Table,,1),0),14)="Fixed",L12*INDEX(Comm_Table,MATCH(C12,INDEX(Comm_Table,,1),0),15),IF(INDEX(Comm_Table,MATCH(C12,INDEX(Comm_Table,,1),0),14)="Threshold",IF(L12&lt;=INDEX(Comm_Table,MATCH(C12,INDEX(Comm_Table,,1),0),16),L12*INDEX(Comm_Table,MATCH(C12,INDEX(Comm_Table,,1),0),15),L12*INDEX(Comm_Table,MATCH(C12,INDEX(Comm_Table,,1),0),17)),MIN(L12,INDEX(Comm_Table,MATCH(C12,INDEX(Comm_Table,,1),0),16))*INDEX(Comm_Table,MATCH(C12,INDEX(Comm_Table,,1),0),15)+MAX(0,L12-INDEX(Comm_Table,MATCH(C12,INDEX(Comm_Table,,1),0),16))*INDEX(Comm_Table,MATCH(C12,INDEX(Comm_Table,,1),0),17))),0)</f>
        <v>0</v>
      </c>
      <c r="AH12" s="31">
        <f t="shared" si="4"/>
        <v>0.02</v>
      </c>
      <c r="AI12" s="31">
        <f t="shared" si="5"/>
        <v>5.5</v>
      </c>
      <c r="AJ12" s="31">
        <f>AF12*KSA_VAT</f>
        <v>0</v>
      </c>
      <c r="AK12" s="31">
        <f t="shared" si="6"/>
        <v>0.75</v>
      </c>
      <c r="AL12" s="31">
        <f t="shared" si="21"/>
        <v>0</v>
      </c>
      <c r="AM12" s="31">
        <f t="shared" si="22"/>
        <v>0</v>
      </c>
      <c r="AN12" s="31">
        <f>(AI12+KSA_Restock)*N12</f>
        <v>0.275</v>
      </c>
      <c r="AO12" s="31">
        <f>D12+AH12+(AE12+AF12+AJ12+AI12+AK12+AM12+AN12)*KSA_Exch</f>
        <v>21.3045217391304</v>
      </c>
      <c r="AP12" s="32">
        <f t="shared" si="7"/>
        <v>0.02</v>
      </c>
      <c r="AQ12" s="32">
        <f>IFERROR(INDEX(FBP_Fees,MATCH(AA12,INDEX(FBP_Fees,,1),1),IF(FBP_DeliveryMode="Drop-off",4,5)),0)</f>
        <v>0</v>
      </c>
      <c r="AR12" s="32">
        <f t="shared" si="8"/>
        <v>12</v>
      </c>
      <c r="AS12" s="32">
        <f>AG12*KSA_VAT</f>
        <v>0</v>
      </c>
      <c r="AT12" s="32">
        <f t="shared" si="9"/>
        <v>0.75</v>
      </c>
      <c r="AU12" s="32">
        <f t="shared" si="10"/>
        <v>0</v>
      </c>
      <c r="AV12" s="32">
        <f>(AQ12+KSA_Restock)*N12</f>
        <v>0</v>
      </c>
      <c r="AW12" s="32">
        <f>D12+AP12+(AE12+AG12+AS12+AQ12+AT12+AU12+AV12)*KSA_Exch</f>
        <v>10.2165217391304</v>
      </c>
      <c r="AX12" s="33">
        <f t="shared" si="11"/>
        <v>6.5</v>
      </c>
      <c r="AY12" s="33">
        <f>IFERROR(INDEX(FBP_Fees,MATCH(AA12,INDEX(FBP_Fees,,1),1),IF(FBP_DeliveryMode="Drop-off",4,5)),0)</f>
        <v>0</v>
      </c>
      <c r="AZ12" s="33">
        <f t="shared" si="12"/>
        <v>12</v>
      </c>
      <c r="BA12" s="33">
        <f>AG12*KSA_VAT</f>
        <v>0</v>
      </c>
      <c r="BB12" s="33">
        <f t="shared" si="13"/>
        <v>0.75</v>
      </c>
      <c r="BC12" s="33">
        <f t="shared" si="14"/>
        <v>0</v>
      </c>
      <c r="BD12" s="33">
        <f>(AX12/KSA_Exch+AY12+KSA_Restock)*N12</f>
        <v>0.169270833333333</v>
      </c>
      <c r="BE12" s="33">
        <f>D12+AX12+(AE12+AG12+BA12+AY12+BB12+BC12+BD12)*KSA_Exch</f>
        <v>17.0215217391304</v>
      </c>
      <c r="BF12" s="34">
        <f>(L12/1.05/USD_AED)*USD_SAR</f>
        <v>14.5971195017517</v>
      </c>
      <c r="BG12" s="34">
        <f t="shared" si="15"/>
        <v>0.729855975087583</v>
      </c>
      <c r="BH12" s="34">
        <f>MAX(KSA_ClearanceFeeMin,MIN(KSA_ClearanceFeeMax,BF12*KSA_ClearanceFeeRate))</f>
        <v>15</v>
      </c>
      <c r="BI12" s="34">
        <f>(BF12+BG12)*KSA_VAT</f>
        <v>2.29904632152589</v>
      </c>
      <c r="BJ12" s="34">
        <f>(BF12+BG12+BH12)*(1+KSA_VAT)</f>
        <v>34.8760217983651</v>
      </c>
      <c r="BK12" s="34">
        <f>L12*CrossBorderFeeRate</f>
        <v>0.75</v>
      </c>
      <c r="BL12" s="34">
        <f t="shared" si="16"/>
        <v>0</v>
      </c>
      <c r="BM12" s="34">
        <f>BL12*UAE_VAT</f>
        <v>0</v>
      </c>
      <c r="BN12" s="34">
        <f t="shared" si="17"/>
        <v>0.75</v>
      </c>
      <c r="BO12" s="34">
        <f t="shared" si="18"/>
        <v>0</v>
      </c>
      <c r="BP12" s="34">
        <f t="shared" si="19"/>
        <v>0.901445114830673</v>
      </c>
      <c r="BQ12" s="34">
        <f>D12+AH12+(BK12+BL12+BM12+BN12+BO12+AI12)*UAE_Exch+(BP12)*KSA_Exch</f>
        <v>20.4707746204749</v>
      </c>
    </row>
    <row r="13" spans="1:69">
      <c r="A13" s="20"/>
      <c r="B13" s="20"/>
      <c r="C13" s="20"/>
      <c r="D13" s="35">
        <v>5</v>
      </c>
      <c r="E13" s="23">
        <v>800</v>
      </c>
      <c r="F13" s="23">
        <v>45</v>
      </c>
      <c r="G13" s="23">
        <v>2</v>
      </c>
      <c r="H13" s="23">
        <v>5</v>
      </c>
      <c r="I13" s="23">
        <v>5</v>
      </c>
      <c r="J13" s="23">
        <v>1</v>
      </c>
      <c r="K13" s="23">
        <v>0.01</v>
      </c>
      <c r="L13" s="23">
        <v>15</v>
      </c>
      <c r="M13" s="24">
        <v>0.05</v>
      </c>
      <c r="N13" s="24">
        <v>0.05</v>
      </c>
      <c r="O13" s="25">
        <f>L13*KSA_Exch-AO13</f>
        <v>7.49547826086956</v>
      </c>
      <c r="P13" s="26">
        <f>IF(L13&gt;0,O13/(L13*KSA_Exch),0)</f>
        <v>0.260259661835749</v>
      </c>
      <c r="Q13" s="25">
        <f>(L13+AR13)*KSA_Exch-AW13</f>
        <v>41.6234782608696</v>
      </c>
      <c r="R13" s="26">
        <f>IF(L13&gt;0,Q13/(L13*KSA_Exch),0)</f>
        <v>1.44525966183575</v>
      </c>
      <c r="S13" s="25">
        <f>(L13+AZ13)*KSA_Exch-BE13</f>
        <v>34.8184782608696</v>
      </c>
      <c r="T13" s="26">
        <f>IF(L13&gt;0,S13/(L13*KSA_Exch),0)</f>
        <v>1.20897493961353</v>
      </c>
      <c r="U13" s="25">
        <f>BF13*KSA_Exch-BQ13</f>
        <v>7.55569482288828</v>
      </c>
      <c r="V13" s="26">
        <f>IF(BF13&gt;0,U13/(BF13*KSA_Exch),0)</f>
        <v>0.269591388888889</v>
      </c>
      <c r="W13" s="27" t="str">
        <f t="shared" si="20"/>
        <v>海外仓FBP</v>
      </c>
      <c r="X13" s="25">
        <f t="shared" si="0"/>
        <v>41.6234782608696</v>
      </c>
      <c r="Y13" s="28">
        <f>GCC_DefaultDuty</f>
        <v>0.05</v>
      </c>
      <c r="Z13" s="29">
        <f t="shared" si="1"/>
        <v>0.005</v>
      </c>
      <c r="AA13" s="29">
        <f t="shared" si="2"/>
        <v>0.01</v>
      </c>
      <c r="AB13" s="29" t="str">
        <f t="shared" si="3"/>
        <v>Small Envelope</v>
      </c>
      <c r="AC13" s="29">
        <f>IFERROR(VLOOKUP(AB13,FBN_SizeTiers,5,FALSE),0)</f>
        <v>0.02</v>
      </c>
      <c r="AD13" s="29">
        <f>IFERROR(MIN(MAX(K13,Z13)+AC13,VLOOKUP(AB13,FBN_SizeTiers,6,FALSE)),0)</f>
        <v>0.03</v>
      </c>
      <c r="AE13" s="30">
        <f>L13/(1+KSA_VAT)*KSA_VAT</f>
        <v>1.95652173913043</v>
      </c>
      <c r="AF13" s="30">
        <f>IFERROR(IF(INDEX(Comm_Table,MATCH(C13,INDEX(Comm_Table,,1),0),10)="Fixed",L13*INDEX(Comm_Table,MATCH(C13,INDEX(Comm_Table,,1),0),11),IF(INDEX(Comm_Table,MATCH(C13,INDEX(Comm_Table,,1),0),10)="Threshold",IF(L13&lt;=INDEX(Comm_Table,MATCH(C13,INDEX(Comm_Table,,1),0),12),L13*INDEX(Comm_Table,MATCH(C13,INDEX(Comm_Table,,1),0),11),L13*INDEX(Comm_Table,MATCH(C13,INDEX(Comm_Table,,1),0),13)),MIN(L13,INDEX(Comm_Table,MATCH(C13,INDEX(Comm_Table,,1),0),12))*INDEX(Comm_Table,MATCH(C13,INDEX(Comm_Table,,1),0),11)+MAX(0,L13-INDEX(Comm_Table,MATCH(C13,INDEX(Comm_Table,,1),0),12))*INDEX(Comm_Table,MATCH(C13,INDEX(Comm_Table,,1),0),13))),0)</f>
        <v>0</v>
      </c>
      <c r="AG13" s="30">
        <f>IFERROR(IF(INDEX(Comm_Table,MATCH(C13,INDEX(Comm_Table,,1),0),14)="Fixed",L13*INDEX(Comm_Table,MATCH(C13,INDEX(Comm_Table,,1),0),15),IF(INDEX(Comm_Table,MATCH(C13,INDEX(Comm_Table,,1),0),14)="Threshold",IF(L13&lt;=INDEX(Comm_Table,MATCH(C13,INDEX(Comm_Table,,1),0),16),L13*INDEX(Comm_Table,MATCH(C13,INDEX(Comm_Table,,1),0),15),L13*INDEX(Comm_Table,MATCH(C13,INDEX(Comm_Table,,1),0),17)),MIN(L13,INDEX(Comm_Table,MATCH(C13,INDEX(Comm_Table,,1),0),16))*INDEX(Comm_Table,MATCH(C13,INDEX(Comm_Table,,1),0),15)+MAX(0,L13-INDEX(Comm_Table,MATCH(C13,INDEX(Comm_Table,,1),0),16))*INDEX(Comm_Table,MATCH(C13,INDEX(Comm_Table,,1),0),17))),0)</f>
        <v>0</v>
      </c>
      <c r="AH13" s="31">
        <f t="shared" si="4"/>
        <v>0.02</v>
      </c>
      <c r="AI13" s="31">
        <f t="shared" si="5"/>
        <v>5.5</v>
      </c>
      <c r="AJ13" s="31">
        <f>AF13*KSA_VAT</f>
        <v>0</v>
      </c>
      <c r="AK13" s="31">
        <f t="shared" si="6"/>
        <v>0.75</v>
      </c>
      <c r="AL13" s="31">
        <f t="shared" si="21"/>
        <v>0</v>
      </c>
      <c r="AM13" s="31">
        <f t="shared" si="22"/>
        <v>0</v>
      </c>
      <c r="AN13" s="31">
        <f>(AI13+KSA_Restock)*N13</f>
        <v>0.275</v>
      </c>
      <c r="AO13" s="31">
        <f>D13+AH13+(AE13+AF13+AJ13+AI13+AK13+AM13+AN13)*KSA_Exch</f>
        <v>21.3045217391304</v>
      </c>
      <c r="AP13" s="32">
        <f t="shared" si="7"/>
        <v>0.02</v>
      </c>
      <c r="AQ13" s="32">
        <f>IFERROR(INDEX(FBP_Fees,MATCH(AA13,INDEX(FBP_Fees,,1),1),IF(FBP_DeliveryMode="Drop-off",4,5)),0)</f>
        <v>0</v>
      </c>
      <c r="AR13" s="32">
        <f t="shared" si="8"/>
        <v>12</v>
      </c>
      <c r="AS13" s="32">
        <f>AG13*KSA_VAT</f>
        <v>0</v>
      </c>
      <c r="AT13" s="32">
        <f t="shared" si="9"/>
        <v>0.75</v>
      </c>
      <c r="AU13" s="32">
        <f t="shared" si="10"/>
        <v>0</v>
      </c>
      <c r="AV13" s="32">
        <f>(AQ13+KSA_Restock)*N13</f>
        <v>0</v>
      </c>
      <c r="AW13" s="32">
        <f>D13+AP13+(AE13+AG13+AS13+AQ13+AT13+AU13+AV13)*KSA_Exch</f>
        <v>10.2165217391304</v>
      </c>
      <c r="AX13" s="33">
        <f t="shared" si="11"/>
        <v>6.5</v>
      </c>
      <c r="AY13" s="33">
        <f>IFERROR(INDEX(FBP_Fees,MATCH(AA13,INDEX(FBP_Fees,,1),1),IF(FBP_DeliveryMode="Drop-off",4,5)),0)</f>
        <v>0</v>
      </c>
      <c r="AZ13" s="33">
        <f t="shared" si="12"/>
        <v>12</v>
      </c>
      <c r="BA13" s="33">
        <f>AG13*KSA_VAT</f>
        <v>0</v>
      </c>
      <c r="BB13" s="33">
        <f t="shared" si="13"/>
        <v>0.75</v>
      </c>
      <c r="BC13" s="33">
        <f t="shared" si="14"/>
        <v>0</v>
      </c>
      <c r="BD13" s="33">
        <f>(AX13/KSA_Exch+AY13+KSA_Restock)*N13</f>
        <v>0.169270833333333</v>
      </c>
      <c r="BE13" s="33">
        <f>D13+AX13+(AE13+AG13+BA13+AY13+BB13+BC13+BD13)*KSA_Exch</f>
        <v>17.0215217391304</v>
      </c>
      <c r="BF13" s="34">
        <f>(L13/1.05/USD_AED)*USD_SAR</f>
        <v>14.5971195017517</v>
      </c>
      <c r="BG13" s="34">
        <f t="shared" si="15"/>
        <v>0.729855975087583</v>
      </c>
      <c r="BH13" s="34">
        <f>MAX(KSA_ClearanceFeeMin,MIN(KSA_ClearanceFeeMax,BF13*KSA_ClearanceFeeRate))</f>
        <v>15</v>
      </c>
      <c r="BI13" s="34">
        <f>(BF13+BG13)*KSA_VAT</f>
        <v>2.29904632152589</v>
      </c>
      <c r="BJ13" s="34">
        <f>(BF13+BG13+BH13)*(1+KSA_VAT)</f>
        <v>34.8760217983651</v>
      </c>
      <c r="BK13" s="34">
        <f>L13*CrossBorderFeeRate</f>
        <v>0.75</v>
      </c>
      <c r="BL13" s="34">
        <f t="shared" si="16"/>
        <v>0</v>
      </c>
      <c r="BM13" s="34">
        <f>BL13*UAE_VAT</f>
        <v>0</v>
      </c>
      <c r="BN13" s="34">
        <f t="shared" si="17"/>
        <v>0.75</v>
      </c>
      <c r="BO13" s="34">
        <f t="shared" si="18"/>
        <v>0</v>
      </c>
      <c r="BP13" s="34">
        <f t="shared" si="19"/>
        <v>0.901445114830673</v>
      </c>
      <c r="BQ13" s="34">
        <f>D13+AH13+(BK13+BL13+BM13+BN13+BO13+AI13)*UAE_Exch+(BP13)*KSA_Exch</f>
        <v>20.4707746204749</v>
      </c>
    </row>
    <row r="14" spans="1:69">
      <c r="A14" s="20"/>
      <c r="B14" s="20"/>
      <c r="C14" s="20"/>
      <c r="D14" s="35">
        <v>5</v>
      </c>
      <c r="E14" s="23">
        <v>800</v>
      </c>
      <c r="F14" s="23">
        <v>45</v>
      </c>
      <c r="G14" s="23">
        <v>2</v>
      </c>
      <c r="H14" s="23">
        <v>5</v>
      </c>
      <c r="I14" s="23">
        <v>5</v>
      </c>
      <c r="J14" s="23">
        <v>1</v>
      </c>
      <c r="K14" s="23">
        <v>0.01</v>
      </c>
      <c r="L14" s="23">
        <v>15</v>
      </c>
      <c r="M14" s="24">
        <v>0.05</v>
      </c>
      <c r="N14" s="24">
        <v>0.05</v>
      </c>
      <c r="O14" s="25">
        <f>L14*KSA_Exch-AO14</f>
        <v>7.49547826086956</v>
      </c>
      <c r="P14" s="26">
        <f>IF(L14&gt;0,O14/(L14*KSA_Exch),0)</f>
        <v>0.260259661835749</v>
      </c>
      <c r="Q14" s="25">
        <f>(L14+AR14)*KSA_Exch-AW14</f>
        <v>41.6234782608696</v>
      </c>
      <c r="R14" s="26">
        <f>IF(L14&gt;0,Q14/(L14*KSA_Exch),0)</f>
        <v>1.44525966183575</v>
      </c>
      <c r="S14" s="25">
        <f>(L14+AZ14)*KSA_Exch-BE14</f>
        <v>34.8184782608696</v>
      </c>
      <c r="T14" s="26">
        <f>IF(L14&gt;0,S14/(L14*KSA_Exch),0)</f>
        <v>1.20897493961353</v>
      </c>
      <c r="U14" s="25">
        <f>BF14*KSA_Exch-BQ14</f>
        <v>7.55569482288828</v>
      </c>
      <c r="V14" s="26">
        <f>IF(BF14&gt;0,U14/(BF14*KSA_Exch),0)</f>
        <v>0.269591388888889</v>
      </c>
      <c r="W14" s="27" t="str">
        <f t="shared" si="20"/>
        <v>海外仓FBP</v>
      </c>
      <c r="X14" s="25">
        <f t="shared" si="0"/>
        <v>41.6234782608696</v>
      </c>
      <c r="Y14" s="28">
        <f>GCC_DefaultDuty</f>
        <v>0.05</v>
      </c>
      <c r="Z14" s="29">
        <f t="shared" si="1"/>
        <v>0.005</v>
      </c>
      <c r="AA14" s="29">
        <f t="shared" si="2"/>
        <v>0.01</v>
      </c>
      <c r="AB14" s="29" t="str">
        <f t="shared" si="3"/>
        <v>Small Envelope</v>
      </c>
      <c r="AC14" s="29">
        <f>IFERROR(VLOOKUP(AB14,FBN_SizeTiers,5,FALSE),0)</f>
        <v>0.02</v>
      </c>
      <c r="AD14" s="29">
        <f>IFERROR(MIN(MAX(K14,Z14)+AC14,VLOOKUP(AB14,FBN_SizeTiers,6,FALSE)),0)</f>
        <v>0.03</v>
      </c>
      <c r="AE14" s="30">
        <f>L14/(1+KSA_VAT)*KSA_VAT</f>
        <v>1.95652173913043</v>
      </c>
      <c r="AF14" s="30">
        <f>IFERROR(IF(INDEX(Comm_Table,MATCH(C14,INDEX(Comm_Table,,1),0),10)="Fixed",L14*INDEX(Comm_Table,MATCH(C14,INDEX(Comm_Table,,1),0),11),IF(INDEX(Comm_Table,MATCH(C14,INDEX(Comm_Table,,1),0),10)="Threshold",IF(L14&lt;=INDEX(Comm_Table,MATCH(C14,INDEX(Comm_Table,,1),0),12),L14*INDEX(Comm_Table,MATCH(C14,INDEX(Comm_Table,,1),0),11),L14*INDEX(Comm_Table,MATCH(C14,INDEX(Comm_Table,,1),0),13)),MIN(L14,INDEX(Comm_Table,MATCH(C14,INDEX(Comm_Table,,1),0),12))*INDEX(Comm_Table,MATCH(C14,INDEX(Comm_Table,,1),0),11)+MAX(0,L14-INDEX(Comm_Table,MATCH(C14,INDEX(Comm_Table,,1),0),12))*INDEX(Comm_Table,MATCH(C14,INDEX(Comm_Table,,1),0),13))),0)</f>
        <v>0</v>
      </c>
      <c r="AG14" s="30">
        <f>IFERROR(IF(INDEX(Comm_Table,MATCH(C14,INDEX(Comm_Table,,1),0),14)="Fixed",L14*INDEX(Comm_Table,MATCH(C14,INDEX(Comm_Table,,1),0),15),IF(INDEX(Comm_Table,MATCH(C14,INDEX(Comm_Table,,1),0),14)="Threshold",IF(L14&lt;=INDEX(Comm_Table,MATCH(C14,INDEX(Comm_Table,,1),0),16),L14*INDEX(Comm_Table,MATCH(C14,INDEX(Comm_Table,,1),0),15),L14*INDEX(Comm_Table,MATCH(C14,INDEX(Comm_Table,,1),0),17)),MIN(L14,INDEX(Comm_Table,MATCH(C14,INDEX(Comm_Table,,1),0),16))*INDEX(Comm_Table,MATCH(C14,INDEX(Comm_Table,,1),0),15)+MAX(0,L14-INDEX(Comm_Table,MATCH(C14,INDEX(Comm_Table,,1),0),16))*INDEX(Comm_Table,MATCH(C14,INDEX(Comm_Table,,1),0),17))),0)</f>
        <v>0</v>
      </c>
      <c r="AH14" s="31">
        <f t="shared" si="4"/>
        <v>0.02</v>
      </c>
      <c r="AI14" s="31">
        <f t="shared" si="5"/>
        <v>5.5</v>
      </c>
      <c r="AJ14" s="31">
        <f>AF14*KSA_VAT</f>
        <v>0</v>
      </c>
      <c r="AK14" s="31">
        <f t="shared" si="6"/>
        <v>0.75</v>
      </c>
      <c r="AL14" s="31">
        <f t="shared" si="21"/>
        <v>0</v>
      </c>
      <c r="AM14" s="31">
        <f t="shared" si="22"/>
        <v>0</v>
      </c>
      <c r="AN14" s="31">
        <f>(AI14+KSA_Restock)*N14</f>
        <v>0.275</v>
      </c>
      <c r="AO14" s="31">
        <f>D14+AH14+(AE14+AF14+AJ14+AI14+AK14+AM14+AN14)*KSA_Exch</f>
        <v>21.3045217391304</v>
      </c>
      <c r="AP14" s="32">
        <f t="shared" si="7"/>
        <v>0.02</v>
      </c>
      <c r="AQ14" s="32">
        <f>IFERROR(INDEX(FBP_Fees,MATCH(AA14,INDEX(FBP_Fees,,1),1),IF(FBP_DeliveryMode="Drop-off",4,5)),0)</f>
        <v>0</v>
      </c>
      <c r="AR14" s="32">
        <f t="shared" si="8"/>
        <v>12</v>
      </c>
      <c r="AS14" s="32">
        <f>AG14*KSA_VAT</f>
        <v>0</v>
      </c>
      <c r="AT14" s="32">
        <f t="shared" si="9"/>
        <v>0.75</v>
      </c>
      <c r="AU14" s="32">
        <f t="shared" si="10"/>
        <v>0</v>
      </c>
      <c r="AV14" s="32">
        <f>(AQ14+KSA_Restock)*N14</f>
        <v>0</v>
      </c>
      <c r="AW14" s="32">
        <f>D14+AP14+(AE14+AG14+AS14+AQ14+AT14+AU14+AV14)*KSA_Exch</f>
        <v>10.2165217391304</v>
      </c>
      <c r="AX14" s="33">
        <f t="shared" si="11"/>
        <v>6.5</v>
      </c>
      <c r="AY14" s="33">
        <f>IFERROR(INDEX(FBP_Fees,MATCH(AA14,INDEX(FBP_Fees,,1),1),IF(FBP_DeliveryMode="Drop-off",4,5)),0)</f>
        <v>0</v>
      </c>
      <c r="AZ14" s="33">
        <f t="shared" si="12"/>
        <v>12</v>
      </c>
      <c r="BA14" s="33">
        <f>AG14*KSA_VAT</f>
        <v>0</v>
      </c>
      <c r="BB14" s="33">
        <f t="shared" si="13"/>
        <v>0.75</v>
      </c>
      <c r="BC14" s="33">
        <f t="shared" si="14"/>
        <v>0</v>
      </c>
      <c r="BD14" s="33">
        <f>(AX14/KSA_Exch+AY14+KSA_Restock)*N14</f>
        <v>0.169270833333333</v>
      </c>
      <c r="BE14" s="33">
        <f>D14+AX14+(AE14+AG14+BA14+AY14+BB14+BC14+BD14)*KSA_Exch</f>
        <v>17.0215217391304</v>
      </c>
      <c r="BF14" s="34">
        <f>(L14/1.05/USD_AED)*USD_SAR</f>
        <v>14.5971195017517</v>
      </c>
      <c r="BG14" s="34">
        <f t="shared" si="15"/>
        <v>0.729855975087583</v>
      </c>
      <c r="BH14" s="34">
        <f>MAX(KSA_ClearanceFeeMin,MIN(KSA_ClearanceFeeMax,BF14*KSA_ClearanceFeeRate))</f>
        <v>15</v>
      </c>
      <c r="BI14" s="34">
        <f>(BF14+BG14)*KSA_VAT</f>
        <v>2.29904632152589</v>
      </c>
      <c r="BJ14" s="34">
        <f>(BF14+BG14+BH14)*(1+KSA_VAT)</f>
        <v>34.8760217983651</v>
      </c>
      <c r="BK14" s="34">
        <f>L14*CrossBorderFeeRate</f>
        <v>0.75</v>
      </c>
      <c r="BL14" s="34">
        <f t="shared" si="16"/>
        <v>0</v>
      </c>
      <c r="BM14" s="34">
        <f>BL14*UAE_VAT</f>
        <v>0</v>
      </c>
      <c r="BN14" s="34">
        <f t="shared" si="17"/>
        <v>0.75</v>
      </c>
      <c r="BO14" s="34">
        <f t="shared" si="18"/>
        <v>0</v>
      </c>
      <c r="BP14" s="34">
        <f t="shared" si="19"/>
        <v>0.901445114830673</v>
      </c>
      <c r="BQ14" s="34">
        <f>D14+AH14+(BK14+BL14+BM14+BN14+BO14+AI14)*UAE_Exch+(BP14)*KSA_Exch</f>
        <v>20.4707746204749</v>
      </c>
    </row>
    <row r="15" spans="1:69">
      <c r="A15" s="20"/>
      <c r="B15" s="20"/>
      <c r="C15" s="20"/>
      <c r="D15" s="35">
        <v>5</v>
      </c>
      <c r="E15" s="23">
        <v>800</v>
      </c>
      <c r="F15" s="23">
        <v>45</v>
      </c>
      <c r="G15" s="23">
        <v>2</v>
      </c>
      <c r="H15" s="23">
        <v>5</v>
      </c>
      <c r="I15" s="23">
        <v>5</v>
      </c>
      <c r="J15" s="23">
        <v>1</v>
      </c>
      <c r="K15" s="23">
        <v>0.01</v>
      </c>
      <c r="L15" s="23">
        <v>15</v>
      </c>
      <c r="M15" s="24">
        <v>0.05</v>
      </c>
      <c r="N15" s="24">
        <v>0.05</v>
      </c>
      <c r="O15" s="25">
        <f>L15*KSA_Exch-AO15</f>
        <v>7.49547826086956</v>
      </c>
      <c r="P15" s="26">
        <f>IF(L15&gt;0,O15/(L15*KSA_Exch),0)</f>
        <v>0.260259661835749</v>
      </c>
      <c r="Q15" s="25">
        <f>(L15+AR15)*KSA_Exch-AW15</f>
        <v>41.6234782608696</v>
      </c>
      <c r="R15" s="26">
        <f>IF(L15&gt;0,Q15/(L15*KSA_Exch),0)</f>
        <v>1.44525966183575</v>
      </c>
      <c r="S15" s="25">
        <f>(L15+AZ15)*KSA_Exch-BE15</f>
        <v>34.8184782608696</v>
      </c>
      <c r="T15" s="26">
        <f>IF(L15&gt;0,S15/(L15*KSA_Exch),0)</f>
        <v>1.20897493961353</v>
      </c>
      <c r="U15" s="25">
        <f>BF15*KSA_Exch-BQ15</f>
        <v>7.55569482288828</v>
      </c>
      <c r="V15" s="26">
        <f>IF(BF15&gt;0,U15/(BF15*KSA_Exch),0)</f>
        <v>0.269591388888889</v>
      </c>
      <c r="W15" s="27" t="str">
        <f t="shared" si="20"/>
        <v>海外仓FBP</v>
      </c>
      <c r="X15" s="25">
        <f t="shared" si="0"/>
        <v>41.6234782608696</v>
      </c>
      <c r="Y15" s="28">
        <f>GCC_DefaultDuty</f>
        <v>0.05</v>
      </c>
      <c r="Z15" s="29">
        <f t="shared" si="1"/>
        <v>0.005</v>
      </c>
      <c r="AA15" s="29">
        <f t="shared" si="2"/>
        <v>0.01</v>
      </c>
      <c r="AB15" s="29" t="str">
        <f t="shared" si="3"/>
        <v>Small Envelope</v>
      </c>
      <c r="AC15" s="29">
        <f>IFERROR(VLOOKUP(AB15,FBN_SizeTiers,5,FALSE),0)</f>
        <v>0.02</v>
      </c>
      <c r="AD15" s="29">
        <f>IFERROR(MIN(MAX(K15,Z15)+AC15,VLOOKUP(AB15,FBN_SizeTiers,6,FALSE)),0)</f>
        <v>0.03</v>
      </c>
      <c r="AE15" s="30">
        <f>L15/(1+KSA_VAT)*KSA_VAT</f>
        <v>1.95652173913043</v>
      </c>
      <c r="AF15" s="30">
        <f>IFERROR(IF(INDEX(Comm_Table,MATCH(C15,INDEX(Comm_Table,,1),0),10)="Fixed",L15*INDEX(Comm_Table,MATCH(C15,INDEX(Comm_Table,,1),0),11),IF(INDEX(Comm_Table,MATCH(C15,INDEX(Comm_Table,,1),0),10)="Threshold",IF(L15&lt;=INDEX(Comm_Table,MATCH(C15,INDEX(Comm_Table,,1),0),12),L15*INDEX(Comm_Table,MATCH(C15,INDEX(Comm_Table,,1),0),11),L15*INDEX(Comm_Table,MATCH(C15,INDEX(Comm_Table,,1),0),13)),MIN(L15,INDEX(Comm_Table,MATCH(C15,INDEX(Comm_Table,,1),0),12))*INDEX(Comm_Table,MATCH(C15,INDEX(Comm_Table,,1),0),11)+MAX(0,L15-INDEX(Comm_Table,MATCH(C15,INDEX(Comm_Table,,1),0),12))*INDEX(Comm_Table,MATCH(C15,INDEX(Comm_Table,,1),0),13))),0)</f>
        <v>0</v>
      </c>
      <c r="AG15" s="30">
        <f>IFERROR(IF(INDEX(Comm_Table,MATCH(C15,INDEX(Comm_Table,,1),0),14)="Fixed",L15*INDEX(Comm_Table,MATCH(C15,INDEX(Comm_Table,,1),0),15),IF(INDEX(Comm_Table,MATCH(C15,INDEX(Comm_Table,,1),0),14)="Threshold",IF(L15&lt;=INDEX(Comm_Table,MATCH(C15,INDEX(Comm_Table,,1),0),16),L15*INDEX(Comm_Table,MATCH(C15,INDEX(Comm_Table,,1),0),15),L15*INDEX(Comm_Table,MATCH(C15,INDEX(Comm_Table,,1),0),17)),MIN(L15,INDEX(Comm_Table,MATCH(C15,INDEX(Comm_Table,,1),0),16))*INDEX(Comm_Table,MATCH(C15,INDEX(Comm_Table,,1),0),15)+MAX(0,L15-INDEX(Comm_Table,MATCH(C15,INDEX(Comm_Table,,1),0),16))*INDEX(Comm_Table,MATCH(C15,INDEX(Comm_Table,,1),0),17))),0)</f>
        <v>0</v>
      </c>
      <c r="AH15" s="31">
        <f t="shared" si="4"/>
        <v>0.02</v>
      </c>
      <c r="AI15" s="31">
        <f t="shared" si="5"/>
        <v>5.5</v>
      </c>
      <c r="AJ15" s="31">
        <f>AF15*KSA_VAT</f>
        <v>0</v>
      </c>
      <c r="AK15" s="31">
        <f t="shared" si="6"/>
        <v>0.75</v>
      </c>
      <c r="AL15" s="31">
        <f t="shared" si="21"/>
        <v>0</v>
      </c>
      <c r="AM15" s="31">
        <f t="shared" si="22"/>
        <v>0</v>
      </c>
      <c r="AN15" s="31">
        <f>(AI15+KSA_Restock)*N15</f>
        <v>0.275</v>
      </c>
      <c r="AO15" s="31">
        <f>D15+AH15+(AE15+AF15+AJ15+AI15+AK15+AM15+AN15)*KSA_Exch</f>
        <v>21.3045217391304</v>
      </c>
      <c r="AP15" s="32">
        <f t="shared" si="7"/>
        <v>0.02</v>
      </c>
      <c r="AQ15" s="32">
        <f>IFERROR(INDEX(FBP_Fees,MATCH(AA15,INDEX(FBP_Fees,,1),1),IF(FBP_DeliveryMode="Drop-off",4,5)),0)</f>
        <v>0</v>
      </c>
      <c r="AR15" s="32">
        <f t="shared" si="8"/>
        <v>12</v>
      </c>
      <c r="AS15" s="32">
        <f>AG15*KSA_VAT</f>
        <v>0</v>
      </c>
      <c r="AT15" s="32">
        <f t="shared" si="9"/>
        <v>0.75</v>
      </c>
      <c r="AU15" s="32">
        <f t="shared" si="10"/>
        <v>0</v>
      </c>
      <c r="AV15" s="32">
        <f>(AQ15+KSA_Restock)*N15</f>
        <v>0</v>
      </c>
      <c r="AW15" s="32">
        <f>D15+AP15+(AE15+AG15+AS15+AQ15+AT15+AU15+AV15)*KSA_Exch</f>
        <v>10.2165217391304</v>
      </c>
      <c r="AX15" s="33">
        <f t="shared" si="11"/>
        <v>6.5</v>
      </c>
      <c r="AY15" s="33">
        <f>IFERROR(INDEX(FBP_Fees,MATCH(AA15,INDEX(FBP_Fees,,1),1),IF(FBP_DeliveryMode="Drop-off",4,5)),0)</f>
        <v>0</v>
      </c>
      <c r="AZ15" s="33">
        <f t="shared" si="12"/>
        <v>12</v>
      </c>
      <c r="BA15" s="33">
        <f>AG15*KSA_VAT</f>
        <v>0</v>
      </c>
      <c r="BB15" s="33">
        <f t="shared" si="13"/>
        <v>0.75</v>
      </c>
      <c r="BC15" s="33">
        <f t="shared" si="14"/>
        <v>0</v>
      </c>
      <c r="BD15" s="33">
        <f>(AX15/KSA_Exch+AY15+KSA_Restock)*N15</f>
        <v>0.169270833333333</v>
      </c>
      <c r="BE15" s="33">
        <f>D15+AX15+(AE15+AG15+BA15+AY15+BB15+BC15+BD15)*KSA_Exch</f>
        <v>17.0215217391304</v>
      </c>
      <c r="BF15" s="34">
        <f>(L15/1.05/USD_AED)*USD_SAR</f>
        <v>14.5971195017517</v>
      </c>
      <c r="BG15" s="34">
        <f t="shared" si="15"/>
        <v>0.729855975087583</v>
      </c>
      <c r="BH15" s="34">
        <f>MAX(KSA_ClearanceFeeMin,MIN(KSA_ClearanceFeeMax,BF15*KSA_ClearanceFeeRate))</f>
        <v>15</v>
      </c>
      <c r="BI15" s="34">
        <f>(BF15+BG15)*KSA_VAT</f>
        <v>2.29904632152589</v>
      </c>
      <c r="BJ15" s="34">
        <f>(BF15+BG15+BH15)*(1+KSA_VAT)</f>
        <v>34.8760217983651</v>
      </c>
      <c r="BK15" s="34">
        <f>L15*CrossBorderFeeRate</f>
        <v>0.75</v>
      </c>
      <c r="BL15" s="34">
        <f t="shared" si="16"/>
        <v>0</v>
      </c>
      <c r="BM15" s="34">
        <f>BL15*UAE_VAT</f>
        <v>0</v>
      </c>
      <c r="BN15" s="34">
        <f t="shared" si="17"/>
        <v>0.75</v>
      </c>
      <c r="BO15" s="34">
        <f t="shared" si="18"/>
        <v>0</v>
      </c>
      <c r="BP15" s="34">
        <f t="shared" si="19"/>
        <v>0.901445114830673</v>
      </c>
      <c r="BQ15" s="34">
        <f>D15+AH15+(BK15+BL15+BM15+BN15+BO15+AI15)*UAE_Exch+(BP15)*KSA_Exch</f>
        <v>20.4707746204749</v>
      </c>
    </row>
    <row r="16" spans="1:69">
      <c r="A16" s="20"/>
      <c r="B16" s="20"/>
      <c r="C16" s="20"/>
      <c r="D16" s="35">
        <v>5</v>
      </c>
      <c r="E16" s="23">
        <v>800</v>
      </c>
      <c r="F16" s="23">
        <v>45</v>
      </c>
      <c r="G16" s="23">
        <v>2</v>
      </c>
      <c r="H16" s="23">
        <v>5</v>
      </c>
      <c r="I16" s="23">
        <v>5</v>
      </c>
      <c r="J16" s="23">
        <v>1</v>
      </c>
      <c r="K16" s="23">
        <v>0.01</v>
      </c>
      <c r="L16" s="23">
        <v>15</v>
      </c>
      <c r="M16" s="24">
        <v>0.05</v>
      </c>
      <c r="N16" s="24">
        <v>0.05</v>
      </c>
      <c r="O16" s="25">
        <f>L16*KSA_Exch-AO16</f>
        <v>7.49547826086956</v>
      </c>
      <c r="P16" s="26">
        <f>IF(L16&gt;0,O16/(L16*KSA_Exch),0)</f>
        <v>0.260259661835749</v>
      </c>
      <c r="Q16" s="25">
        <f>(L16+AR16)*KSA_Exch-AW16</f>
        <v>41.6234782608696</v>
      </c>
      <c r="R16" s="26">
        <f>IF(L16&gt;0,Q16/(L16*KSA_Exch),0)</f>
        <v>1.44525966183575</v>
      </c>
      <c r="S16" s="25">
        <f>(L16+AZ16)*KSA_Exch-BE16</f>
        <v>34.8184782608696</v>
      </c>
      <c r="T16" s="26">
        <f>IF(L16&gt;0,S16/(L16*KSA_Exch),0)</f>
        <v>1.20897493961353</v>
      </c>
      <c r="U16" s="25">
        <f>BF16*KSA_Exch-BQ16</f>
        <v>7.55569482288828</v>
      </c>
      <c r="V16" s="26">
        <f>IF(BF16&gt;0,U16/(BF16*KSA_Exch),0)</f>
        <v>0.269591388888889</v>
      </c>
      <c r="W16" s="27" t="str">
        <f t="shared" si="20"/>
        <v>海外仓FBP</v>
      </c>
      <c r="X16" s="25">
        <f t="shared" si="0"/>
        <v>41.6234782608696</v>
      </c>
      <c r="Y16" s="28">
        <f>GCC_DefaultDuty</f>
        <v>0.05</v>
      </c>
      <c r="Z16" s="29">
        <f t="shared" si="1"/>
        <v>0.005</v>
      </c>
      <c r="AA16" s="29">
        <f t="shared" si="2"/>
        <v>0.01</v>
      </c>
      <c r="AB16" s="29" t="str">
        <f t="shared" si="3"/>
        <v>Small Envelope</v>
      </c>
      <c r="AC16" s="29">
        <f>IFERROR(VLOOKUP(AB16,FBN_SizeTiers,5,FALSE),0)</f>
        <v>0.02</v>
      </c>
      <c r="AD16" s="29">
        <f>IFERROR(MIN(MAX(K16,Z16)+AC16,VLOOKUP(AB16,FBN_SizeTiers,6,FALSE)),0)</f>
        <v>0.03</v>
      </c>
      <c r="AE16" s="30">
        <f>L16/(1+KSA_VAT)*KSA_VAT</f>
        <v>1.95652173913043</v>
      </c>
      <c r="AF16" s="30">
        <f>IFERROR(IF(INDEX(Comm_Table,MATCH(C16,INDEX(Comm_Table,,1),0),10)="Fixed",L16*INDEX(Comm_Table,MATCH(C16,INDEX(Comm_Table,,1),0),11),IF(INDEX(Comm_Table,MATCH(C16,INDEX(Comm_Table,,1),0),10)="Threshold",IF(L16&lt;=INDEX(Comm_Table,MATCH(C16,INDEX(Comm_Table,,1),0),12),L16*INDEX(Comm_Table,MATCH(C16,INDEX(Comm_Table,,1),0),11),L16*INDEX(Comm_Table,MATCH(C16,INDEX(Comm_Table,,1),0),13)),MIN(L16,INDEX(Comm_Table,MATCH(C16,INDEX(Comm_Table,,1),0),12))*INDEX(Comm_Table,MATCH(C16,INDEX(Comm_Table,,1),0),11)+MAX(0,L16-INDEX(Comm_Table,MATCH(C16,INDEX(Comm_Table,,1),0),12))*INDEX(Comm_Table,MATCH(C16,INDEX(Comm_Table,,1),0),13))),0)</f>
        <v>0</v>
      </c>
      <c r="AG16" s="30">
        <f>IFERROR(IF(INDEX(Comm_Table,MATCH(C16,INDEX(Comm_Table,,1),0),14)="Fixed",L16*INDEX(Comm_Table,MATCH(C16,INDEX(Comm_Table,,1),0),15),IF(INDEX(Comm_Table,MATCH(C16,INDEX(Comm_Table,,1),0),14)="Threshold",IF(L16&lt;=INDEX(Comm_Table,MATCH(C16,INDEX(Comm_Table,,1),0),16),L16*INDEX(Comm_Table,MATCH(C16,INDEX(Comm_Table,,1),0),15),L16*INDEX(Comm_Table,MATCH(C16,INDEX(Comm_Table,,1),0),17)),MIN(L16,INDEX(Comm_Table,MATCH(C16,INDEX(Comm_Table,,1),0),16))*INDEX(Comm_Table,MATCH(C16,INDEX(Comm_Table,,1),0),15)+MAX(0,L16-INDEX(Comm_Table,MATCH(C16,INDEX(Comm_Table,,1),0),16))*INDEX(Comm_Table,MATCH(C16,INDEX(Comm_Table,,1),0),17))),0)</f>
        <v>0</v>
      </c>
      <c r="AH16" s="31">
        <f t="shared" si="4"/>
        <v>0.02</v>
      </c>
      <c r="AI16" s="31">
        <f t="shared" si="5"/>
        <v>5.5</v>
      </c>
      <c r="AJ16" s="31">
        <f>AF16*KSA_VAT</f>
        <v>0</v>
      </c>
      <c r="AK16" s="31">
        <f t="shared" si="6"/>
        <v>0.75</v>
      </c>
      <c r="AL16" s="31">
        <f t="shared" si="21"/>
        <v>0</v>
      </c>
      <c r="AM16" s="31">
        <f t="shared" si="22"/>
        <v>0</v>
      </c>
      <c r="AN16" s="31">
        <f>(AI16+KSA_Restock)*N16</f>
        <v>0.275</v>
      </c>
      <c r="AO16" s="31">
        <f>D16+AH16+(AE16+AF16+AJ16+AI16+AK16+AM16+AN16)*KSA_Exch</f>
        <v>21.3045217391304</v>
      </c>
      <c r="AP16" s="32">
        <f t="shared" si="7"/>
        <v>0.02</v>
      </c>
      <c r="AQ16" s="32">
        <f>IFERROR(INDEX(FBP_Fees,MATCH(AA16,INDEX(FBP_Fees,,1),1),IF(FBP_DeliveryMode="Drop-off",4,5)),0)</f>
        <v>0</v>
      </c>
      <c r="AR16" s="32">
        <f t="shared" si="8"/>
        <v>12</v>
      </c>
      <c r="AS16" s="32">
        <f>AG16*KSA_VAT</f>
        <v>0</v>
      </c>
      <c r="AT16" s="32">
        <f t="shared" si="9"/>
        <v>0.75</v>
      </c>
      <c r="AU16" s="32">
        <f t="shared" si="10"/>
        <v>0</v>
      </c>
      <c r="AV16" s="32">
        <f>(AQ16+KSA_Restock)*N16</f>
        <v>0</v>
      </c>
      <c r="AW16" s="32">
        <f>D16+AP16+(AE16+AG16+AS16+AQ16+AT16+AU16+AV16)*KSA_Exch</f>
        <v>10.2165217391304</v>
      </c>
      <c r="AX16" s="33">
        <f t="shared" si="11"/>
        <v>6.5</v>
      </c>
      <c r="AY16" s="33">
        <f>IFERROR(INDEX(FBP_Fees,MATCH(AA16,INDEX(FBP_Fees,,1),1),IF(FBP_DeliveryMode="Drop-off",4,5)),0)</f>
        <v>0</v>
      </c>
      <c r="AZ16" s="33">
        <f t="shared" si="12"/>
        <v>12</v>
      </c>
      <c r="BA16" s="33">
        <f>AG16*KSA_VAT</f>
        <v>0</v>
      </c>
      <c r="BB16" s="33">
        <f t="shared" si="13"/>
        <v>0.75</v>
      </c>
      <c r="BC16" s="33">
        <f t="shared" si="14"/>
        <v>0</v>
      </c>
      <c r="BD16" s="33">
        <f>(AX16/KSA_Exch+AY16+KSA_Restock)*N16</f>
        <v>0.169270833333333</v>
      </c>
      <c r="BE16" s="33">
        <f>D16+AX16+(AE16+AG16+BA16+AY16+BB16+BC16+BD16)*KSA_Exch</f>
        <v>17.0215217391304</v>
      </c>
      <c r="BF16" s="34">
        <f>(L16/1.05/USD_AED)*USD_SAR</f>
        <v>14.5971195017517</v>
      </c>
      <c r="BG16" s="34">
        <f t="shared" si="15"/>
        <v>0.729855975087583</v>
      </c>
      <c r="BH16" s="34">
        <f>MAX(KSA_ClearanceFeeMin,MIN(KSA_ClearanceFeeMax,BF16*KSA_ClearanceFeeRate))</f>
        <v>15</v>
      </c>
      <c r="BI16" s="34">
        <f>(BF16+BG16)*KSA_VAT</f>
        <v>2.29904632152589</v>
      </c>
      <c r="BJ16" s="34">
        <f>(BF16+BG16+BH16)*(1+KSA_VAT)</f>
        <v>34.8760217983651</v>
      </c>
      <c r="BK16" s="34">
        <f>L16*CrossBorderFeeRate</f>
        <v>0.75</v>
      </c>
      <c r="BL16" s="34">
        <f t="shared" si="16"/>
        <v>0</v>
      </c>
      <c r="BM16" s="34">
        <f>BL16*UAE_VAT</f>
        <v>0</v>
      </c>
      <c r="BN16" s="34">
        <f t="shared" si="17"/>
        <v>0.75</v>
      </c>
      <c r="BO16" s="34">
        <f t="shared" si="18"/>
        <v>0</v>
      </c>
      <c r="BP16" s="34">
        <f t="shared" si="19"/>
        <v>0.901445114830673</v>
      </c>
      <c r="BQ16" s="34">
        <f>D16+AH16+(BK16+BL16+BM16+BN16+BO16+AI16)*UAE_Exch+(BP16)*KSA_Exch</f>
        <v>20.4707746204749</v>
      </c>
    </row>
    <row r="17" spans="1:69">
      <c r="A17" s="20"/>
      <c r="B17" s="20"/>
      <c r="C17" s="20"/>
      <c r="D17" s="35">
        <v>5</v>
      </c>
      <c r="E17" s="23">
        <v>800</v>
      </c>
      <c r="F17" s="23">
        <v>45</v>
      </c>
      <c r="G17" s="23">
        <v>2</v>
      </c>
      <c r="H17" s="23">
        <v>5</v>
      </c>
      <c r="I17" s="23">
        <v>5</v>
      </c>
      <c r="J17" s="23">
        <v>1</v>
      </c>
      <c r="K17" s="23">
        <v>0.01</v>
      </c>
      <c r="L17" s="23">
        <v>15</v>
      </c>
      <c r="M17" s="24">
        <v>0.05</v>
      </c>
      <c r="N17" s="24">
        <v>0.05</v>
      </c>
      <c r="O17" s="25">
        <f>L17*KSA_Exch-AO17</f>
        <v>7.49547826086956</v>
      </c>
      <c r="P17" s="26">
        <f>IF(L17&gt;0,O17/(L17*KSA_Exch),0)</f>
        <v>0.260259661835749</v>
      </c>
      <c r="Q17" s="25">
        <f>(L17+AR17)*KSA_Exch-AW17</f>
        <v>41.6234782608696</v>
      </c>
      <c r="R17" s="26">
        <f>IF(L17&gt;0,Q17/(L17*KSA_Exch),0)</f>
        <v>1.44525966183575</v>
      </c>
      <c r="S17" s="25">
        <f>(L17+AZ17)*KSA_Exch-BE17</f>
        <v>34.8184782608696</v>
      </c>
      <c r="T17" s="26">
        <f>IF(L17&gt;0,S17/(L17*KSA_Exch),0)</f>
        <v>1.20897493961353</v>
      </c>
      <c r="U17" s="25">
        <f>BF17*KSA_Exch-BQ17</f>
        <v>7.55569482288828</v>
      </c>
      <c r="V17" s="26">
        <f>IF(BF17&gt;0,U17/(BF17*KSA_Exch),0)</f>
        <v>0.269591388888889</v>
      </c>
      <c r="W17" s="27" t="str">
        <f t="shared" si="20"/>
        <v>海外仓FBP</v>
      </c>
      <c r="X17" s="25">
        <f t="shared" si="0"/>
        <v>41.6234782608696</v>
      </c>
      <c r="Y17" s="28">
        <f>GCC_DefaultDuty</f>
        <v>0.05</v>
      </c>
      <c r="Z17" s="29">
        <f t="shared" si="1"/>
        <v>0.005</v>
      </c>
      <c r="AA17" s="29">
        <f t="shared" si="2"/>
        <v>0.01</v>
      </c>
      <c r="AB17" s="29" t="str">
        <f t="shared" si="3"/>
        <v>Small Envelope</v>
      </c>
      <c r="AC17" s="29">
        <f>IFERROR(VLOOKUP(AB17,FBN_SizeTiers,5,FALSE),0)</f>
        <v>0.02</v>
      </c>
      <c r="AD17" s="29">
        <f>IFERROR(MIN(MAX(K17,Z17)+AC17,VLOOKUP(AB17,FBN_SizeTiers,6,FALSE)),0)</f>
        <v>0.03</v>
      </c>
      <c r="AE17" s="30">
        <f>L17/(1+KSA_VAT)*KSA_VAT</f>
        <v>1.95652173913043</v>
      </c>
      <c r="AF17" s="30">
        <f>IFERROR(IF(INDEX(Comm_Table,MATCH(C17,INDEX(Comm_Table,,1),0),10)="Fixed",L17*INDEX(Comm_Table,MATCH(C17,INDEX(Comm_Table,,1),0),11),IF(INDEX(Comm_Table,MATCH(C17,INDEX(Comm_Table,,1),0),10)="Threshold",IF(L17&lt;=INDEX(Comm_Table,MATCH(C17,INDEX(Comm_Table,,1),0),12),L17*INDEX(Comm_Table,MATCH(C17,INDEX(Comm_Table,,1),0),11),L17*INDEX(Comm_Table,MATCH(C17,INDEX(Comm_Table,,1),0),13)),MIN(L17,INDEX(Comm_Table,MATCH(C17,INDEX(Comm_Table,,1),0),12))*INDEX(Comm_Table,MATCH(C17,INDEX(Comm_Table,,1),0),11)+MAX(0,L17-INDEX(Comm_Table,MATCH(C17,INDEX(Comm_Table,,1),0),12))*INDEX(Comm_Table,MATCH(C17,INDEX(Comm_Table,,1),0),13))),0)</f>
        <v>0</v>
      </c>
      <c r="AG17" s="30">
        <f>IFERROR(IF(INDEX(Comm_Table,MATCH(C17,INDEX(Comm_Table,,1),0),14)="Fixed",L17*INDEX(Comm_Table,MATCH(C17,INDEX(Comm_Table,,1),0),15),IF(INDEX(Comm_Table,MATCH(C17,INDEX(Comm_Table,,1),0),14)="Threshold",IF(L17&lt;=INDEX(Comm_Table,MATCH(C17,INDEX(Comm_Table,,1),0),16),L17*INDEX(Comm_Table,MATCH(C17,INDEX(Comm_Table,,1),0),15),L17*INDEX(Comm_Table,MATCH(C17,INDEX(Comm_Table,,1),0),17)),MIN(L17,INDEX(Comm_Table,MATCH(C17,INDEX(Comm_Table,,1),0),16))*INDEX(Comm_Table,MATCH(C17,INDEX(Comm_Table,,1),0),15)+MAX(0,L17-INDEX(Comm_Table,MATCH(C17,INDEX(Comm_Table,,1),0),16))*INDEX(Comm_Table,MATCH(C17,INDEX(Comm_Table,,1),0),17))),0)</f>
        <v>0</v>
      </c>
      <c r="AH17" s="31">
        <f t="shared" si="4"/>
        <v>0.02</v>
      </c>
      <c r="AI17" s="31">
        <f t="shared" si="5"/>
        <v>5.5</v>
      </c>
      <c r="AJ17" s="31">
        <f>AF17*KSA_VAT</f>
        <v>0</v>
      </c>
      <c r="AK17" s="31">
        <f t="shared" si="6"/>
        <v>0.75</v>
      </c>
      <c r="AL17" s="31">
        <f t="shared" si="21"/>
        <v>0</v>
      </c>
      <c r="AM17" s="31">
        <f t="shared" si="22"/>
        <v>0</v>
      </c>
      <c r="AN17" s="31">
        <f>(AI17+KSA_Restock)*N17</f>
        <v>0.275</v>
      </c>
      <c r="AO17" s="31">
        <f>D17+AH17+(AE17+AF17+AJ17+AI17+AK17+AM17+AN17)*KSA_Exch</f>
        <v>21.3045217391304</v>
      </c>
      <c r="AP17" s="32">
        <f t="shared" si="7"/>
        <v>0.02</v>
      </c>
      <c r="AQ17" s="32">
        <f>IFERROR(INDEX(FBP_Fees,MATCH(AA17,INDEX(FBP_Fees,,1),1),IF(FBP_DeliveryMode="Drop-off",4,5)),0)</f>
        <v>0</v>
      </c>
      <c r="AR17" s="32">
        <f t="shared" si="8"/>
        <v>12</v>
      </c>
      <c r="AS17" s="32">
        <f>AG17*KSA_VAT</f>
        <v>0</v>
      </c>
      <c r="AT17" s="32">
        <f t="shared" si="9"/>
        <v>0.75</v>
      </c>
      <c r="AU17" s="32">
        <f t="shared" si="10"/>
        <v>0</v>
      </c>
      <c r="AV17" s="32">
        <f>(AQ17+KSA_Restock)*N17</f>
        <v>0</v>
      </c>
      <c r="AW17" s="32">
        <f>D17+AP17+(AE17+AG17+AS17+AQ17+AT17+AU17+AV17)*KSA_Exch</f>
        <v>10.2165217391304</v>
      </c>
      <c r="AX17" s="33">
        <f t="shared" si="11"/>
        <v>6.5</v>
      </c>
      <c r="AY17" s="33">
        <f>IFERROR(INDEX(FBP_Fees,MATCH(AA17,INDEX(FBP_Fees,,1),1),IF(FBP_DeliveryMode="Drop-off",4,5)),0)</f>
        <v>0</v>
      </c>
      <c r="AZ17" s="33">
        <f t="shared" si="12"/>
        <v>12</v>
      </c>
      <c r="BA17" s="33">
        <f>AG17*KSA_VAT</f>
        <v>0</v>
      </c>
      <c r="BB17" s="33">
        <f t="shared" si="13"/>
        <v>0.75</v>
      </c>
      <c r="BC17" s="33">
        <f t="shared" si="14"/>
        <v>0</v>
      </c>
      <c r="BD17" s="33">
        <f>(AX17/KSA_Exch+AY17+KSA_Restock)*N17</f>
        <v>0.169270833333333</v>
      </c>
      <c r="BE17" s="33">
        <f>D17+AX17+(AE17+AG17+BA17+AY17+BB17+BC17+BD17)*KSA_Exch</f>
        <v>17.0215217391304</v>
      </c>
      <c r="BF17" s="34">
        <f>(L17/1.05/USD_AED)*USD_SAR</f>
        <v>14.5971195017517</v>
      </c>
      <c r="BG17" s="34">
        <f t="shared" si="15"/>
        <v>0.729855975087583</v>
      </c>
      <c r="BH17" s="34">
        <f>MAX(KSA_ClearanceFeeMin,MIN(KSA_ClearanceFeeMax,BF17*KSA_ClearanceFeeRate))</f>
        <v>15</v>
      </c>
      <c r="BI17" s="34">
        <f>(BF17+BG17)*KSA_VAT</f>
        <v>2.29904632152589</v>
      </c>
      <c r="BJ17" s="34">
        <f>(BF17+BG17+BH17)*(1+KSA_VAT)</f>
        <v>34.8760217983651</v>
      </c>
      <c r="BK17" s="34">
        <f>L17*CrossBorderFeeRate</f>
        <v>0.75</v>
      </c>
      <c r="BL17" s="34">
        <f t="shared" si="16"/>
        <v>0</v>
      </c>
      <c r="BM17" s="34">
        <f>BL17*UAE_VAT</f>
        <v>0</v>
      </c>
      <c r="BN17" s="34">
        <f t="shared" si="17"/>
        <v>0.75</v>
      </c>
      <c r="BO17" s="34">
        <f t="shared" si="18"/>
        <v>0</v>
      </c>
      <c r="BP17" s="34">
        <f t="shared" si="19"/>
        <v>0.901445114830673</v>
      </c>
      <c r="BQ17" s="34">
        <f>D17+AH17+(BK17+BL17+BM17+BN17+BO17+AI17)*UAE_Exch+(BP17)*KSA_Exch</f>
        <v>20.4707746204749</v>
      </c>
    </row>
    <row r="18" spans="1:69">
      <c r="A18" s="20"/>
      <c r="B18" s="20"/>
      <c r="C18" s="20"/>
      <c r="D18" s="35">
        <v>5</v>
      </c>
      <c r="E18" s="23">
        <v>800</v>
      </c>
      <c r="F18" s="23">
        <v>45</v>
      </c>
      <c r="G18" s="23">
        <v>2</v>
      </c>
      <c r="H18" s="23">
        <v>5</v>
      </c>
      <c r="I18" s="23">
        <v>5</v>
      </c>
      <c r="J18" s="23">
        <v>1</v>
      </c>
      <c r="K18" s="23">
        <v>0.01</v>
      </c>
      <c r="L18" s="23">
        <v>15</v>
      </c>
      <c r="M18" s="24">
        <v>0.05</v>
      </c>
      <c r="N18" s="24">
        <v>0.05</v>
      </c>
      <c r="O18" s="25">
        <f>L18*KSA_Exch-AO18</f>
        <v>7.49547826086956</v>
      </c>
      <c r="P18" s="26">
        <f>IF(L18&gt;0,O18/(L18*KSA_Exch),0)</f>
        <v>0.260259661835749</v>
      </c>
      <c r="Q18" s="25">
        <f>(L18+AR18)*KSA_Exch-AW18</f>
        <v>41.6234782608696</v>
      </c>
      <c r="R18" s="26">
        <f>IF(L18&gt;0,Q18/(L18*KSA_Exch),0)</f>
        <v>1.44525966183575</v>
      </c>
      <c r="S18" s="25">
        <f>(L18+AZ18)*KSA_Exch-BE18</f>
        <v>34.8184782608696</v>
      </c>
      <c r="T18" s="26">
        <f>IF(L18&gt;0,S18/(L18*KSA_Exch),0)</f>
        <v>1.20897493961353</v>
      </c>
      <c r="U18" s="25">
        <f>BF18*KSA_Exch-BQ18</f>
        <v>7.55569482288828</v>
      </c>
      <c r="V18" s="26">
        <f>IF(BF18&gt;0,U18/(BF18*KSA_Exch),0)</f>
        <v>0.269591388888889</v>
      </c>
      <c r="W18" s="27" t="str">
        <f t="shared" si="20"/>
        <v>海外仓FBP</v>
      </c>
      <c r="X18" s="25">
        <f t="shared" si="0"/>
        <v>41.6234782608696</v>
      </c>
      <c r="Y18" s="28">
        <f>GCC_DefaultDuty</f>
        <v>0.05</v>
      </c>
      <c r="Z18" s="29">
        <f t="shared" si="1"/>
        <v>0.005</v>
      </c>
      <c r="AA18" s="29">
        <f t="shared" si="2"/>
        <v>0.01</v>
      </c>
      <c r="AB18" s="29" t="str">
        <f t="shared" si="3"/>
        <v>Small Envelope</v>
      </c>
      <c r="AC18" s="29">
        <f>IFERROR(VLOOKUP(AB18,FBN_SizeTiers,5,FALSE),0)</f>
        <v>0.02</v>
      </c>
      <c r="AD18" s="29">
        <f>IFERROR(MIN(MAX(K18,Z18)+AC18,VLOOKUP(AB18,FBN_SizeTiers,6,FALSE)),0)</f>
        <v>0.03</v>
      </c>
      <c r="AE18" s="30">
        <f>L18/(1+KSA_VAT)*KSA_VAT</f>
        <v>1.95652173913043</v>
      </c>
      <c r="AF18" s="30">
        <f>IFERROR(IF(INDEX(Comm_Table,MATCH(C18,INDEX(Comm_Table,,1),0),10)="Fixed",L18*INDEX(Comm_Table,MATCH(C18,INDEX(Comm_Table,,1),0),11),IF(INDEX(Comm_Table,MATCH(C18,INDEX(Comm_Table,,1),0),10)="Threshold",IF(L18&lt;=INDEX(Comm_Table,MATCH(C18,INDEX(Comm_Table,,1),0),12),L18*INDEX(Comm_Table,MATCH(C18,INDEX(Comm_Table,,1),0),11),L18*INDEX(Comm_Table,MATCH(C18,INDEX(Comm_Table,,1),0),13)),MIN(L18,INDEX(Comm_Table,MATCH(C18,INDEX(Comm_Table,,1),0),12))*INDEX(Comm_Table,MATCH(C18,INDEX(Comm_Table,,1),0),11)+MAX(0,L18-INDEX(Comm_Table,MATCH(C18,INDEX(Comm_Table,,1),0),12))*INDEX(Comm_Table,MATCH(C18,INDEX(Comm_Table,,1),0),13))),0)</f>
        <v>0</v>
      </c>
      <c r="AG18" s="30">
        <f>IFERROR(IF(INDEX(Comm_Table,MATCH(C18,INDEX(Comm_Table,,1),0),14)="Fixed",L18*INDEX(Comm_Table,MATCH(C18,INDEX(Comm_Table,,1),0),15),IF(INDEX(Comm_Table,MATCH(C18,INDEX(Comm_Table,,1),0),14)="Threshold",IF(L18&lt;=INDEX(Comm_Table,MATCH(C18,INDEX(Comm_Table,,1),0),16),L18*INDEX(Comm_Table,MATCH(C18,INDEX(Comm_Table,,1),0),15),L18*INDEX(Comm_Table,MATCH(C18,INDEX(Comm_Table,,1),0),17)),MIN(L18,INDEX(Comm_Table,MATCH(C18,INDEX(Comm_Table,,1),0),16))*INDEX(Comm_Table,MATCH(C18,INDEX(Comm_Table,,1),0),15)+MAX(0,L18-INDEX(Comm_Table,MATCH(C18,INDEX(Comm_Table,,1),0),16))*INDEX(Comm_Table,MATCH(C18,INDEX(Comm_Table,,1),0),17))),0)</f>
        <v>0</v>
      </c>
      <c r="AH18" s="31">
        <f t="shared" si="4"/>
        <v>0.02</v>
      </c>
      <c r="AI18" s="31">
        <f t="shared" si="5"/>
        <v>5.5</v>
      </c>
      <c r="AJ18" s="31">
        <f>AF18*KSA_VAT</f>
        <v>0</v>
      </c>
      <c r="AK18" s="31">
        <f t="shared" si="6"/>
        <v>0.75</v>
      </c>
      <c r="AL18" s="31">
        <f t="shared" si="21"/>
        <v>0</v>
      </c>
      <c r="AM18" s="31">
        <f t="shared" si="22"/>
        <v>0</v>
      </c>
      <c r="AN18" s="31">
        <f>(AI18+KSA_Restock)*N18</f>
        <v>0.275</v>
      </c>
      <c r="AO18" s="31">
        <f>D18+AH18+(AE18+AF18+AJ18+AI18+AK18+AM18+AN18)*KSA_Exch</f>
        <v>21.3045217391304</v>
      </c>
      <c r="AP18" s="32">
        <f t="shared" si="7"/>
        <v>0.02</v>
      </c>
      <c r="AQ18" s="32">
        <f>IFERROR(INDEX(FBP_Fees,MATCH(AA18,INDEX(FBP_Fees,,1),1),IF(FBP_DeliveryMode="Drop-off",4,5)),0)</f>
        <v>0</v>
      </c>
      <c r="AR18" s="32">
        <f t="shared" si="8"/>
        <v>12</v>
      </c>
      <c r="AS18" s="32">
        <f>AG18*KSA_VAT</f>
        <v>0</v>
      </c>
      <c r="AT18" s="32">
        <f t="shared" si="9"/>
        <v>0.75</v>
      </c>
      <c r="AU18" s="32">
        <f t="shared" si="10"/>
        <v>0</v>
      </c>
      <c r="AV18" s="32">
        <f>(AQ18+KSA_Restock)*N18</f>
        <v>0</v>
      </c>
      <c r="AW18" s="32">
        <f>D18+AP18+(AE18+AG18+AS18+AQ18+AT18+AU18+AV18)*KSA_Exch</f>
        <v>10.2165217391304</v>
      </c>
      <c r="AX18" s="33">
        <f t="shared" si="11"/>
        <v>6.5</v>
      </c>
      <c r="AY18" s="33">
        <f>IFERROR(INDEX(FBP_Fees,MATCH(AA18,INDEX(FBP_Fees,,1),1),IF(FBP_DeliveryMode="Drop-off",4,5)),0)</f>
        <v>0</v>
      </c>
      <c r="AZ18" s="33">
        <f t="shared" si="12"/>
        <v>12</v>
      </c>
      <c r="BA18" s="33">
        <f>AG18*KSA_VAT</f>
        <v>0</v>
      </c>
      <c r="BB18" s="33">
        <f t="shared" si="13"/>
        <v>0.75</v>
      </c>
      <c r="BC18" s="33">
        <f t="shared" si="14"/>
        <v>0</v>
      </c>
      <c r="BD18" s="33">
        <f>(AX18/KSA_Exch+AY18+KSA_Restock)*N18</f>
        <v>0.169270833333333</v>
      </c>
      <c r="BE18" s="33">
        <f>D18+AX18+(AE18+AG18+BA18+AY18+BB18+BC18+BD18)*KSA_Exch</f>
        <v>17.0215217391304</v>
      </c>
      <c r="BF18" s="34">
        <f>(L18/1.05/USD_AED)*USD_SAR</f>
        <v>14.5971195017517</v>
      </c>
      <c r="BG18" s="34">
        <f t="shared" si="15"/>
        <v>0.729855975087583</v>
      </c>
      <c r="BH18" s="34">
        <f>MAX(KSA_ClearanceFeeMin,MIN(KSA_ClearanceFeeMax,BF18*KSA_ClearanceFeeRate))</f>
        <v>15</v>
      </c>
      <c r="BI18" s="34">
        <f>(BF18+BG18)*KSA_VAT</f>
        <v>2.29904632152589</v>
      </c>
      <c r="BJ18" s="34">
        <f>(BF18+BG18+BH18)*(1+KSA_VAT)</f>
        <v>34.8760217983651</v>
      </c>
      <c r="BK18" s="34">
        <f>L18*CrossBorderFeeRate</f>
        <v>0.75</v>
      </c>
      <c r="BL18" s="34">
        <f t="shared" si="16"/>
        <v>0</v>
      </c>
      <c r="BM18" s="34">
        <f>BL18*UAE_VAT</f>
        <v>0</v>
      </c>
      <c r="BN18" s="34">
        <f t="shared" si="17"/>
        <v>0.75</v>
      </c>
      <c r="BO18" s="34">
        <f t="shared" si="18"/>
        <v>0</v>
      </c>
      <c r="BP18" s="34">
        <f t="shared" si="19"/>
        <v>0.901445114830673</v>
      </c>
      <c r="BQ18" s="34">
        <f>D18+AH18+(BK18+BL18+BM18+BN18+BO18+AI18)*UAE_Exch+(BP18)*KSA_Exch</f>
        <v>20.4707746204749</v>
      </c>
    </row>
    <row r="19" spans="1:69">
      <c r="A19" s="20"/>
      <c r="B19" s="20"/>
      <c r="C19" s="20"/>
      <c r="D19" s="35">
        <v>5</v>
      </c>
      <c r="E19" s="23">
        <v>800</v>
      </c>
      <c r="F19" s="23">
        <v>45</v>
      </c>
      <c r="G19" s="23">
        <v>2</v>
      </c>
      <c r="H19" s="23">
        <v>5</v>
      </c>
      <c r="I19" s="23">
        <v>5</v>
      </c>
      <c r="J19" s="23">
        <v>1</v>
      </c>
      <c r="K19" s="23">
        <v>0.01</v>
      </c>
      <c r="L19" s="23">
        <v>15</v>
      </c>
      <c r="M19" s="24">
        <v>0.05</v>
      </c>
      <c r="N19" s="24">
        <v>0.05</v>
      </c>
      <c r="O19" s="25">
        <f>L19*KSA_Exch-AO19</f>
        <v>7.49547826086956</v>
      </c>
      <c r="P19" s="26">
        <f>IF(L19&gt;0,O19/(L19*KSA_Exch),0)</f>
        <v>0.260259661835749</v>
      </c>
      <c r="Q19" s="25">
        <f>(L19+AR19)*KSA_Exch-AW19</f>
        <v>41.6234782608696</v>
      </c>
      <c r="R19" s="26">
        <f>IF(L19&gt;0,Q19/(L19*KSA_Exch),0)</f>
        <v>1.44525966183575</v>
      </c>
      <c r="S19" s="25">
        <f>(L19+AZ19)*KSA_Exch-BE19</f>
        <v>34.8184782608696</v>
      </c>
      <c r="T19" s="26">
        <f>IF(L19&gt;0,S19/(L19*KSA_Exch),0)</f>
        <v>1.20897493961353</v>
      </c>
      <c r="U19" s="25">
        <f>BF19*KSA_Exch-BQ19</f>
        <v>7.55569482288828</v>
      </c>
      <c r="V19" s="26">
        <f>IF(BF19&gt;0,U19/(BF19*KSA_Exch),0)</f>
        <v>0.269591388888889</v>
      </c>
      <c r="W19" s="27" t="str">
        <f t="shared" si="20"/>
        <v>海外仓FBP</v>
      </c>
      <c r="X19" s="25">
        <f t="shared" si="0"/>
        <v>41.6234782608696</v>
      </c>
      <c r="Y19" s="28">
        <f>GCC_DefaultDuty</f>
        <v>0.05</v>
      </c>
      <c r="Z19" s="29">
        <f t="shared" si="1"/>
        <v>0.005</v>
      </c>
      <c r="AA19" s="29">
        <f t="shared" si="2"/>
        <v>0.01</v>
      </c>
      <c r="AB19" s="29" t="str">
        <f t="shared" si="3"/>
        <v>Small Envelope</v>
      </c>
      <c r="AC19" s="29">
        <f>IFERROR(VLOOKUP(AB19,FBN_SizeTiers,5,FALSE),0)</f>
        <v>0.02</v>
      </c>
      <c r="AD19" s="29">
        <f>IFERROR(MIN(MAX(K19,Z19)+AC19,VLOOKUP(AB19,FBN_SizeTiers,6,FALSE)),0)</f>
        <v>0.03</v>
      </c>
      <c r="AE19" s="30">
        <f>L19/(1+KSA_VAT)*KSA_VAT</f>
        <v>1.95652173913043</v>
      </c>
      <c r="AF19" s="30">
        <f>IFERROR(IF(INDEX(Comm_Table,MATCH(C19,INDEX(Comm_Table,,1),0),10)="Fixed",L19*INDEX(Comm_Table,MATCH(C19,INDEX(Comm_Table,,1),0),11),IF(INDEX(Comm_Table,MATCH(C19,INDEX(Comm_Table,,1),0),10)="Threshold",IF(L19&lt;=INDEX(Comm_Table,MATCH(C19,INDEX(Comm_Table,,1),0),12),L19*INDEX(Comm_Table,MATCH(C19,INDEX(Comm_Table,,1),0),11),L19*INDEX(Comm_Table,MATCH(C19,INDEX(Comm_Table,,1),0),13)),MIN(L19,INDEX(Comm_Table,MATCH(C19,INDEX(Comm_Table,,1),0),12))*INDEX(Comm_Table,MATCH(C19,INDEX(Comm_Table,,1),0),11)+MAX(0,L19-INDEX(Comm_Table,MATCH(C19,INDEX(Comm_Table,,1),0),12))*INDEX(Comm_Table,MATCH(C19,INDEX(Comm_Table,,1),0),13))),0)</f>
        <v>0</v>
      </c>
      <c r="AG19" s="30">
        <f>IFERROR(IF(INDEX(Comm_Table,MATCH(C19,INDEX(Comm_Table,,1),0),14)="Fixed",L19*INDEX(Comm_Table,MATCH(C19,INDEX(Comm_Table,,1),0),15),IF(INDEX(Comm_Table,MATCH(C19,INDEX(Comm_Table,,1),0),14)="Threshold",IF(L19&lt;=INDEX(Comm_Table,MATCH(C19,INDEX(Comm_Table,,1),0),16),L19*INDEX(Comm_Table,MATCH(C19,INDEX(Comm_Table,,1),0),15),L19*INDEX(Comm_Table,MATCH(C19,INDEX(Comm_Table,,1),0),17)),MIN(L19,INDEX(Comm_Table,MATCH(C19,INDEX(Comm_Table,,1),0),16))*INDEX(Comm_Table,MATCH(C19,INDEX(Comm_Table,,1),0),15)+MAX(0,L19-INDEX(Comm_Table,MATCH(C19,INDEX(Comm_Table,,1),0),16))*INDEX(Comm_Table,MATCH(C19,INDEX(Comm_Table,,1),0),17))),0)</f>
        <v>0</v>
      </c>
      <c r="AH19" s="31">
        <f t="shared" si="4"/>
        <v>0.02</v>
      </c>
      <c r="AI19" s="31">
        <f t="shared" si="5"/>
        <v>5.5</v>
      </c>
      <c r="AJ19" s="31">
        <f>AF19*KSA_VAT</f>
        <v>0</v>
      </c>
      <c r="AK19" s="31">
        <f t="shared" si="6"/>
        <v>0.75</v>
      </c>
      <c r="AL19" s="31">
        <f t="shared" si="21"/>
        <v>0</v>
      </c>
      <c r="AM19" s="31">
        <f t="shared" si="22"/>
        <v>0</v>
      </c>
      <c r="AN19" s="31">
        <f>(AI19+KSA_Restock)*N19</f>
        <v>0.275</v>
      </c>
      <c r="AO19" s="31">
        <f>D19+AH19+(AE19+AF19+AJ19+AI19+AK19+AM19+AN19)*KSA_Exch</f>
        <v>21.3045217391304</v>
      </c>
      <c r="AP19" s="32">
        <f t="shared" si="7"/>
        <v>0.02</v>
      </c>
      <c r="AQ19" s="32">
        <f>IFERROR(INDEX(FBP_Fees,MATCH(AA19,INDEX(FBP_Fees,,1),1),IF(FBP_DeliveryMode="Drop-off",4,5)),0)</f>
        <v>0</v>
      </c>
      <c r="AR19" s="32">
        <f t="shared" si="8"/>
        <v>12</v>
      </c>
      <c r="AS19" s="32">
        <f>AG19*KSA_VAT</f>
        <v>0</v>
      </c>
      <c r="AT19" s="32">
        <f t="shared" si="9"/>
        <v>0.75</v>
      </c>
      <c r="AU19" s="32">
        <f t="shared" si="10"/>
        <v>0</v>
      </c>
      <c r="AV19" s="32">
        <f>(AQ19+KSA_Restock)*N19</f>
        <v>0</v>
      </c>
      <c r="AW19" s="32">
        <f>D19+AP19+(AE19+AG19+AS19+AQ19+AT19+AU19+AV19)*KSA_Exch</f>
        <v>10.2165217391304</v>
      </c>
      <c r="AX19" s="33">
        <f t="shared" si="11"/>
        <v>6.5</v>
      </c>
      <c r="AY19" s="33">
        <f>IFERROR(INDEX(FBP_Fees,MATCH(AA19,INDEX(FBP_Fees,,1),1),IF(FBP_DeliveryMode="Drop-off",4,5)),0)</f>
        <v>0</v>
      </c>
      <c r="AZ19" s="33">
        <f t="shared" si="12"/>
        <v>12</v>
      </c>
      <c r="BA19" s="33">
        <f>AG19*KSA_VAT</f>
        <v>0</v>
      </c>
      <c r="BB19" s="33">
        <f t="shared" si="13"/>
        <v>0.75</v>
      </c>
      <c r="BC19" s="33">
        <f t="shared" si="14"/>
        <v>0</v>
      </c>
      <c r="BD19" s="33">
        <f>(AX19/KSA_Exch+AY19+KSA_Restock)*N19</f>
        <v>0.169270833333333</v>
      </c>
      <c r="BE19" s="33">
        <f>D19+AX19+(AE19+AG19+BA19+AY19+BB19+BC19+BD19)*KSA_Exch</f>
        <v>17.0215217391304</v>
      </c>
      <c r="BF19" s="34">
        <f>(L19/1.05/USD_AED)*USD_SAR</f>
        <v>14.5971195017517</v>
      </c>
      <c r="BG19" s="34">
        <f t="shared" si="15"/>
        <v>0.729855975087583</v>
      </c>
      <c r="BH19" s="34">
        <f>MAX(KSA_ClearanceFeeMin,MIN(KSA_ClearanceFeeMax,BF19*KSA_ClearanceFeeRate))</f>
        <v>15</v>
      </c>
      <c r="BI19" s="34">
        <f>(BF19+BG19)*KSA_VAT</f>
        <v>2.29904632152589</v>
      </c>
      <c r="BJ19" s="34">
        <f>(BF19+BG19+BH19)*(1+KSA_VAT)</f>
        <v>34.8760217983651</v>
      </c>
      <c r="BK19" s="34">
        <f>L19*CrossBorderFeeRate</f>
        <v>0.75</v>
      </c>
      <c r="BL19" s="34">
        <f t="shared" si="16"/>
        <v>0</v>
      </c>
      <c r="BM19" s="34">
        <f>BL19*UAE_VAT</f>
        <v>0</v>
      </c>
      <c r="BN19" s="34">
        <f t="shared" si="17"/>
        <v>0.75</v>
      </c>
      <c r="BO19" s="34">
        <f t="shared" si="18"/>
        <v>0</v>
      </c>
      <c r="BP19" s="34">
        <f t="shared" si="19"/>
        <v>0.901445114830673</v>
      </c>
      <c r="BQ19" s="34">
        <f>D19+AH19+(BK19+BL19+BM19+BN19+BO19+AI19)*UAE_Exch+(BP19)*KSA_Exch</f>
        <v>20.4707746204749</v>
      </c>
    </row>
    <row r="20" spans="1:69">
      <c r="A20" s="20"/>
      <c r="B20" s="20"/>
      <c r="C20" s="20"/>
      <c r="D20" s="35">
        <v>5</v>
      </c>
      <c r="E20" s="23">
        <v>800</v>
      </c>
      <c r="F20" s="23">
        <v>45</v>
      </c>
      <c r="G20" s="23">
        <v>2</v>
      </c>
      <c r="H20" s="23">
        <v>5</v>
      </c>
      <c r="I20" s="23">
        <v>5</v>
      </c>
      <c r="J20" s="23">
        <v>1</v>
      </c>
      <c r="K20" s="23">
        <v>0.01</v>
      </c>
      <c r="L20" s="23">
        <v>15</v>
      </c>
      <c r="M20" s="24">
        <v>0.05</v>
      </c>
      <c r="N20" s="24">
        <v>0.05</v>
      </c>
      <c r="O20" s="25">
        <f>L20*KSA_Exch-AO20</f>
        <v>7.49547826086956</v>
      </c>
      <c r="P20" s="26">
        <f>IF(L20&gt;0,O20/(L20*KSA_Exch),0)</f>
        <v>0.260259661835749</v>
      </c>
      <c r="Q20" s="25">
        <f>(L20+AR20)*KSA_Exch-AW20</f>
        <v>41.6234782608696</v>
      </c>
      <c r="R20" s="26">
        <f>IF(L20&gt;0,Q20/(L20*KSA_Exch),0)</f>
        <v>1.44525966183575</v>
      </c>
      <c r="S20" s="25">
        <f>(L20+AZ20)*KSA_Exch-BE20</f>
        <v>34.8184782608696</v>
      </c>
      <c r="T20" s="26">
        <f>IF(L20&gt;0,S20/(L20*KSA_Exch),0)</f>
        <v>1.20897493961353</v>
      </c>
      <c r="U20" s="25">
        <f>BF20*KSA_Exch-BQ20</f>
        <v>7.55569482288828</v>
      </c>
      <c r="V20" s="26">
        <f>IF(BF20&gt;0,U20/(BF20*KSA_Exch),0)</f>
        <v>0.269591388888889</v>
      </c>
      <c r="W20" s="27" t="str">
        <f t="shared" si="20"/>
        <v>海外仓FBP</v>
      </c>
      <c r="X20" s="25">
        <f t="shared" si="0"/>
        <v>41.6234782608696</v>
      </c>
      <c r="Y20" s="28">
        <f>GCC_DefaultDuty</f>
        <v>0.05</v>
      </c>
      <c r="Z20" s="29">
        <f t="shared" si="1"/>
        <v>0.005</v>
      </c>
      <c r="AA20" s="29">
        <f t="shared" si="2"/>
        <v>0.01</v>
      </c>
      <c r="AB20" s="29" t="str">
        <f t="shared" si="3"/>
        <v>Small Envelope</v>
      </c>
      <c r="AC20" s="29">
        <f>IFERROR(VLOOKUP(AB20,FBN_SizeTiers,5,FALSE),0)</f>
        <v>0.02</v>
      </c>
      <c r="AD20" s="29">
        <f>IFERROR(MIN(MAX(K20,Z20)+AC20,VLOOKUP(AB20,FBN_SizeTiers,6,FALSE)),0)</f>
        <v>0.03</v>
      </c>
      <c r="AE20" s="30">
        <f>L20/(1+KSA_VAT)*KSA_VAT</f>
        <v>1.95652173913043</v>
      </c>
      <c r="AF20" s="30">
        <f>IFERROR(IF(INDEX(Comm_Table,MATCH(C20,INDEX(Comm_Table,,1),0),10)="Fixed",L20*INDEX(Comm_Table,MATCH(C20,INDEX(Comm_Table,,1),0),11),IF(INDEX(Comm_Table,MATCH(C20,INDEX(Comm_Table,,1),0),10)="Threshold",IF(L20&lt;=INDEX(Comm_Table,MATCH(C20,INDEX(Comm_Table,,1),0),12),L20*INDEX(Comm_Table,MATCH(C20,INDEX(Comm_Table,,1),0),11),L20*INDEX(Comm_Table,MATCH(C20,INDEX(Comm_Table,,1),0),13)),MIN(L20,INDEX(Comm_Table,MATCH(C20,INDEX(Comm_Table,,1),0),12))*INDEX(Comm_Table,MATCH(C20,INDEX(Comm_Table,,1),0),11)+MAX(0,L20-INDEX(Comm_Table,MATCH(C20,INDEX(Comm_Table,,1),0),12))*INDEX(Comm_Table,MATCH(C20,INDEX(Comm_Table,,1),0),13))),0)</f>
        <v>0</v>
      </c>
      <c r="AG20" s="30">
        <f>IFERROR(IF(INDEX(Comm_Table,MATCH(C20,INDEX(Comm_Table,,1),0),14)="Fixed",L20*INDEX(Comm_Table,MATCH(C20,INDEX(Comm_Table,,1),0),15),IF(INDEX(Comm_Table,MATCH(C20,INDEX(Comm_Table,,1),0),14)="Threshold",IF(L20&lt;=INDEX(Comm_Table,MATCH(C20,INDEX(Comm_Table,,1),0),16),L20*INDEX(Comm_Table,MATCH(C20,INDEX(Comm_Table,,1),0),15),L20*INDEX(Comm_Table,MATCH(C20,INDEX(Comm_Table,,1),0),17)),MIN(L20,INDEX(Comm_Table,MATCH(C20,INDEX(Comm_Table,,1),0),16))*INDEX(Comm_Table,MATCH(C20,INDEX(Comm_Table,,1),0),15)+MAX(0,L20-INDEX(Comm_Table,MATCH(C20,INDEX(Comm_Table,,1),0),16))*INDEX(Comm_Table,MATCH(C20,INDEX(Comm_Table,,1),0),17))),0)</f>
        <v>0</v>
      </c>
      <c r="AH20" s="31">
        <f t="shared" si="4"/>
        <v>0.02</v>
      </c>
      <c r="AI20" s="31">
        <f t="shared" si="5"/>
        <v>5.5</v>
      </c>
      <c r="AJ20" s="31">
        <f>AF20*KSA_VAT</f>
        <v>0</v>
      </c>
      <c r="AK20" s="31">
        <f t="shared" si="6"/>
        <v>0.75</v>
      </c>
      <c r="AL20" s="31">
        <f t="shared" si="21"/>
        <v>0</v>
      </c>
      <c r="AM20" s="31">
        <f t="shared" si="22"/>
        <v>0</v>
      </c>
      <c r="AN20" s="31">
        <f>(AI20+KSA_Restock)*N20</f>
        <v>0.275</v>
      </c>
      <c r="AO20" s="31">
        <f>D20+AH20+(AE20+AF20+AJ20+AI20+AK20+AM20+AN20)*KSA_Exch</f>
        <v>21.3045217391304</v>
      </c>
      <c r="AP20" s="32">
        <f t="shared" si="7"/>
        <v>0.02</v>
      </c>
      <c r="AQ20" s="32">
        <f>IFERROR(INDEX(FBP_Fees,MATCH(AA20,INDEX(FBP_Fees,,1),1),IF(FBP_DeliveryMode="Drop-off",4,5)),0)</f>
        <v>0</v>
      </c>
      <c r="AR20" s="32">
        <f t="shared" si="8"/>
        <v>12</v>
      </c>
      <c r="AS20" s="32">
        <f>AG20*KSA_VAT</f>
        <v>0</v>
      </c>
      <c r="AT20" s="32">
        <f t="shared" si="9"/>
        <v>0.75</v>
      </c>
      <c r="AU20" s="32">
        <f t="shared" si="10"/>
        <v>0</v>
      </c>
      <c r="AV20" s="32">
        <f>(AQ20+KSA_Restock)*N20</f>
        <v>0</v>
      </c>
      <c r="AW20" s="32">
        <f>D20+AP20+(AE20+AG20+AS20+AQ20+AT20+AU20+AV20)*KSA_Exch</f>
        <v>10.2165217391304</v>
      </c>
      <c r="AX20" s="33">
        <f t="shared" si="11"/>
        <v>6.5</v>
      </c>
      <c r="AY20" s="33">
        <f>IFERROR(INDEX(FBP_Fees,MATCH(AA20,INDEX(FBP_Fees,,1),1),IF(FBP_DeliveryMode="Drop-off",4,5)),0)</f>
        <v>0</v>
      </c>
      <c r="AZ20" s="33">
        <f t="shared" si="12"/>
        <v>12</v>
      </c>
      <c r="BA20" s="33">
        <f>AG20*KSA_VAT</f>
        <v>0</v>
      </c>
      <c r="BB20" s="33">
        <f t="shared" si="13"/>
        <v>0.75</v>
      </c>
      <c r="BC20" s="33">
        <f t="shared" si="14"/>
        <v>0</v>
      </c>
      <c r="BD20" s="33">
        <f>(AX20/KSA_Exch+AY20+KSA_Restock)*N20</f>
        <v>0.169270833333333</v>
      </c>
      <c r="BE20" s="33">
        <f>D20+AX20+(AE20+AG20+BA20+AY20+BB20+BC20+BD20)*KSA_Exch</f>
        <v>17.0215217391304</v>
      </c>
      <c r="BF20" s="34">
        <f>(L20/1.05/USD_AED)*USD_SAR</f>
        <v>14.5971195017517</v>
      </c>
      <c r="BG20" s="34">
        <f t="shared" si="15"/>
        <v>0.729855975087583</v>
      </c>
      <c r="BH20" s="34">
        <f>MAX(KSA_ClearanceFeeMin,MIN(KSA_ClearanceFeeMax,BF20*KSA_ClearanceFeeRate))</f>
        <v>15</v>
      </c>
      <c r="BI20" s="34">
        <f>(BF20+BG20)*KSA_VAT</f>
        <v>2.29904632152589</v>
      </c>
      <c r="BJ20" s="34">
        <f>(BF20+BG20+BH20)*(1+KSA_VAT)</f>
        <v>34.8760217983651</v>
      </c>
      <c r="BK20" s="34">
        <f>L20*CrossBorderFeeRate</f>
        <v>0.75</v>
      </c>
      <c r="BL20" s="34">
        <f t="shared" si="16"/>
        <v>0</v>
      </c>
      <c r="BM20" s="34">
        <f>BL20*UAE_VAT</f>
        <v>0</v>
      </c>
      <c r="BN20" s="34">
        <f t="shared" si="17"/>
        <v>0.75</v>
      </c>
      <c r="BO20" s="34">
        <f t="shared" si="18"/>
        <v>0</v>
      </c>
      <c r="BP20" s="34">
        <f t="shared" si="19"/>
        <v>0.901445114830673</v>
      </c>
      <c r="BQ20" s="34">
        <f>D20+AH20+(BK20+BL20+BM20+BN20+BO20+AI20)*UAE_Exch+(BP20)*KSA_Exch</f>
        <v>20.4707746204749</v>
      </c>
    </row>
    <row r="21" spans="1:69">
      <c r="A21" s="20"/>
      <c r="B21" s="20"/>
      <c r="C21" s="20"/>
      <c r="D21" s="35">
        <v>5</v>
      </c>
      <c r="E21" s="23">
        <v>800</v>
      </c>
      <c r="F21" s="23">
        <v>45</v>
      </c>
      <c r="G21" s="23">
        <v>2</v>
      </c>
      <c r="H21" s="23">
        <v>5</v>
      </c>
      <c r="I21" s="23">
        <v>5</v>
      </c>
      <c r="J21" s="23">
        <v>1</v>
      </c>
      <c r="K21" s="23">
        <v>0.01</v>
      </c>
      <c r="L21" s="23">
        <v>15</v>
      </c>
      <c r="M21" s="24">
        <v>0.05</v>
      </c>
      <c r="N21" s="24">
        <v>0.05</v>
      </c>
      <c r="O21" s="25">
        <f>L21*KSA_Exch-AO21</f>
        <v>7.49547826086956</v>
      </c>
      <c r="P21" s="26">
        <f>IF(L21&gt;0,O21/(L21*KSA_Exch),0)</f>
        <v>0.260259661835749</v>
      </c>
      <c r="Q21" s="25">
        <f>(L21+AR21)*KSA_Exch-AW21</f>
        <v>41.6234782608696</v>
      </c>
      <c r="R21" s="26">
        <f>IF(L21&gt;0,Q21/(L21*KSA_Exch),0)</f>
        <v>1.44525966183575</v>
      </c>
      <c r="S21" s="25">
        <f>(L21+AZ21)*KSA_Exch-BE21</f>
        <v>34.8184782608696</v>
      </c>
      <c r="T21" s="26">
        <f>IF(L21&gt;0,S21/(L21*KSA_Exch),0)</f>
        <v>1.20897493961353</v>
      </c>
      <c r="U21" s="25">
        <f>BF21*KSA_Exch-BQ21</f>
        <v>7.55569482288828</v>
      </c>
      <c r="V21" s="26">
        <f>IF(BF21&gt;0,U21/(BF21*KSA_Exch),0)</f>
        <v>0.269591388888889</v>
      </c>
      <c r="W21" s="27" t="str">
        <f t="shared" si="20"/>
        <v>海外仓FBP</v>
      </c>
      <c r="X21" s="25">
        <f t="shared" si="0"/>
        <v>41.6234782608696</v>
      </c>
      <c r="Y21" s="28">
        <f>GCC_DefaultDuty</f>
        <v>0.05</v>
      </c>
      <c r="Z21" s="29">
        <f t="shared" si="1"/>
        <v>0.005</v>
      </c>
      <c r="AA21" s="29">
        <f t="shared" si="2"/>
        <v>0.01</v>
      </c>
      <c r="AB21" s="29" t="str">
        <f t="shared" si="3"/>
        <v>Small Envelope</v>
      </c>
      <c r="AC21" s="29">
        <f>IFERROR(VLOOKUP(AB21,FBN_SizeTiers,5,FALSE),0)</f>
        <v>0.02</v>
      </c>
      <c r="AD21" s="29">
        <f>IFERROR(MIN(MAX(K21,Z21)+AC21,VLOOKUP(AB21,FBN_SizeTiers,6,FALSE)),0)</f>
        <v>0.03</v>
      </c>
      <c r="AE21" s="30">
        <f>L21/(1+KSA_VAT)*KSA_VAT</f>
        <v>1.95652173913043</v>
      </c>
      <c r="AF21" s="30">
        <f>IFERROR(IF(INDEX(Comm_Table,MATCH(C21,INDEX(Comm_Table,,1),0),10)="Fixed",L21*INDEX(Comm_Table,MATCH(C21,INDEX(Comm_Table,,1),0),11),IF(INDEX(Comm_Table,MATCH(C21,INDEX(Comm_Table,,1),0),10)="Threshold",IF(L21&lt;=INDEX(Comm_Table,MATCH(C21,INDEX(Comm_Table,,1),0),12),L21*INDEX(Comm_Table,MATCH(C21,INDEX(Comm_Table,,1),0),11),L21*INDEX(Comm_Table,MATCH(C21,INDEX(Comm_Table,,1),0),13)),MIN(L21,INDEX(Comm_Table,MATCH(C21,INDEX(Comm_Table,,1),0),12))*INDEX(Comm_Table,MATCH(C21,INDEX(Comm_Table,,1),0),11)+MAX(0,L21-INDEX(Comm_Table,MATCH(C21,INDEX(Comm_Table,,1),0),12))*INDEX(Comm_Table,MATCH(C21,INDEX(Comm_Table,,1),0),13))),0)</f>
        <v>0</v>
      </c>
      <c r="AG21" s="30">
        <f>IFERROR(IF(INDEX(Comm_Table,MATCH(C21,INDEX(Comm_Table,,1),0),14)="Fixed",L21*INDEX(Comm_Table,MATCH(C21,INDEX(Comm_Table,,1),0),15),IF(INDEX(Comm_Table,MATCH(C21,INDEX(Comm_Table,,1),0),14)="Threshold",IF(L21&lt;=INDEX(Comm_Table,MATCH(C21,INDEX(Comm_Table,,1),0),16),L21*INDEX(Comm_Table,MATCH(C21,INDEX(Comm_Table,,1),0),15),L21*INDEX(Comm_Table,MATCH(C21,INDEX(Comm_Table,,1),0),17)),MIN(L21,INDEX(Comm_Table,MATCH(C21,INDEX(Comm_Table,,1),0),16))*INDEX(Comm_Table,MATCH(C21,INDEX(Comm_Table,,1),0),15)+MAX(0,L21-INDEX(Comm_Table,MATCH(C21,INDEX(Comm_Table,,1),0),16))*INDEX(Comm_Table,MATCH(C21,INDEX(Comm_Table,,1),0),17))),0)</f>
        <v>0</v>
      </c>
      <c r="AH21" s="31">
        <f t="shared" si="4"/>
        <v>0.02</v>
      </c>
      <c r="AI21" s="31">
        <f t="shared" si="5"/>
        <v>5.5</v>
      </c>
      <c r="AJ21" s="31">
        <f>AF21*KSA_VAT</f>
        <v>0</v>
      </c>
      <c r="AK21" s="31">
        <f t="shared" si="6"/>
        <v>0.75</v>
      </c>
      <c r="AL21" s="31">
        <f t="shared" si="21"/>
        <v>0</v>
      </c>
      <c r="AM21" s="31">
        <f t="shared" si="22"/>
        <v>0</v>
      </c>
      <c r="AN21" s="31">
        <f>(AI21+KSA_Restock)*N21</f>
        <v>0.275</v>
      </c>
      <c r="AO21" s="31">
        <f>D21+AH21+(AE21+AF21+AJ21+AI21+AK21+AM21+AN21)*KSA_Exch</f>
        <v>21.3045217391304</v>
      </c>
      <c r="AP21" s="32">
        <f t="shared" si="7"/>
        <v>0.02</v>
      </c>
      <c r="AQ21" s="32">
        <f>IFERROR(INDEX(FBP_Fees,MATCH(AA21,INDEX(FBP_Fees,,1),1),IF(FBP_DeliveryMode="Drop-off",4,5)),0)</f>
        <v>0</v>
      </c>
      <c r="AR21" s="32">
        <f t="shared" si="8"/>
        <v>12</v>
      </c>
      <c r="AS21" s="32">
        <f>AG21*KSA_VAT</f>
        <v>0</v>
      </c>
      <c r="AT21" s="32">
        <f t="shared" si="9"/>
        <v>0.75</v>
      </c>
      <c r="AU21" s="32">
        <f t="shared" si="10"/>
        <v>0</v>
      </c>
      <c r="AV21" s="32">
        <f>(AQ21+KSA_Restock)*N21</f>
        <v>0</v>
      </c>
      <c r="AW21" s="32">
        <f>D21+AP21+(AE21+AG21+AS21+AQ21+AT21+AU21+AV21)*KSA_Exch</f>
        <v>10.2165217391304</v>
      </c>
      <c r="AX21" s="33">
        <f t="shared" si="11"/>
        <v>6.5</v>
      </c>
      <c r="AY21" s="33">
        <f>IFERROR(INDEX(FBP_Fees,MATCH(AA21,INDEX(FBP_Fees,,1),1),IF(FBP_DeliveryMode="Drop-off",4,5)),0)</f>
        <v>0</v>
      </c>
      <c r="AZ21" s="33">
        <f t="shared" si="12"/>
        <v>12</v>
      </c>
      <c r="BA21" s="33">
        <f>AG21*KSA_VAT</f>
        <v>0</v>
      </c>
      <c r="BB21" s="33">
        <f t="shared" si="13"/>
        <v>0.75</v>
      </c>
      <c r="BC21" s="33">
        <f t="shared" si="14"/>
        <v>0</v>
      </c>
      <c r="BD21" s="33">
        <f>(AX21/KSA_Exch+AY21+KSA_Restock)*N21</f>
        <v>0.169270833333333</v>
      </c>
      <c r="BE21" s="33">
        <f>D21+AX21+(AE21+AG21+BA21+AY21+BB21+BC21+BD21)*KSA_Exch</f>
        <v>17.0215217391304</v>
      </c>
      <c r="BF21" s="34">
        <f>(L21/1.05/USD_AED)*USD_SAR</f>
        <v>14.5971195017517</v>
      </c>
      <c r="BG21" s="34">
        <f t="shared" si="15"/>
        <v>0.729855975087583</v>
      </c>
      <c r="BH21" s="34">
        <f>MAX(KSA_ClearanceFeeMin,MIN(KSA_ClearanceFeeMax,BF21*KSA_ClearanceFeeRate))</f>
        <v>15</v>
      </c>
      <c r="BI21" s="34">
        <f>(BF21+BG21)*KSA_VAT</f>
        <v>2.29904632152589</v>
      </c>
      <c r="BJ21" s="34">
        <f>(BF21+BG21+BH21)*(1+KSA_VAT)</f>
        <v>34.8760217983651</v>
      </c>
      <c r="BK21" s="34">
        <f>L21*CrossBorderFeeRate</f>
        <v>0.75</v>
      </c>
      <c r="BL21" s="34">
        <f t="shared" si="16"/>
        <v>0</v>
      </c>
      <c r="BM21" s="34">
        <f>BL21*UAE_VAT</f>
        <v>0</v>
      </c>
      <c r="BN21" s="34">
        <f t="shared" si="17"/>
        <v>0.75</v>
      </c>
      <c r="BO21" s="34">
        <f t="shared" si="18"/>
        <v>0</v>
      </c>
      <c r="BP21" s="34">
        <f t="shared" si="19"/>
        <v>0.901445114830673</v>
      </c>
      <c r="BQ21" s="34">
        <f>D21+AH21+(BK21+BL21+BM21+BN21+BO21+AI21)*UAE_Exch+(BP21)*KSA_Exch</f>
        <v>20.4707746204749</v>
      </c>
    </row>
    <row r="22" spans="1:69">
      <c r="A22" s="20"/>
      <c r="B22" s="20"/>
      <c r="C22" s="20"/>
      <c r="D22" s="35">
        <v>5</v>
      </c>
      <c r="E22" s="23">
        <v>800</v>
      </c>
      <c r="F22" s="23">
        <v>45</v>
      </c>
      <c r="G22" s="23">
        <v>2</v>
      </c>
      <c r="H22" s="23">
        <v>5</v>
      </c>
      <c r="I22" s="23">
        <v>5</v>
      </c>
      <c r="J22" s="23">
        <v>1</v>
      </c>
      <c r="K22" s="23">
        <v>0.01</v>
      </c>
      <c r="L22" s="23">
        <v>15</v>
      </c>
      <c r="M22" s="24">
        <v>0.05</v>
      </c>
      <c r="N22" s="24">
        <v>0.05</v>
      </c>
      <c r="O22" s="25">
        <f>L22*KSA_Exch-AO22</f>
        <v>7.49547826086956</v>
      </c>
      <c r="P22" s="26">
        <f>IF(L22&gt;0,O22/(L22*KSA_Exch),0)</f>
        <v>0.260259661835749</v>
      </c>
      <c r="Q22" s="25">
        <f>(L22+AR22)*KSA_Exch-AW22</f>
        <v>41.6234782608696</v>
      </c>
      <c r="R22" s="26">
        <f>IF(L22&gt;0,Q22/(L22*KSA_Exch),0)</f>
        <v>1.44525966183575</v>
      </c>
      <c r="S22" s="25">
        <f>(L22+AZ22)*KSA_Exch-BE22</f>
        <v>34.8184782608696</v>
      </c>
      <c r="T22" s="26">
        <f>IF(L22&gt;0,S22/(L22*KSA_Exch),0)</f>
        <v>1.20897493961353</v>
      </c>
      <c r="U22" s="25">
        <f>BF22*KSA_Exch-BQ22</f>
        <v>7.55569482288828</v>
      </c>
      <c r="V22" s="26">
        <f>IF(BF22&gt;0,U22/(BF22*KSA_Exch),0)</f>
        <v>0.269591388888889</v>
      </c>
      <c r="W22" s="27" t="str">
        <f t="shared" si="20"/>
        <v>海外仓FBP</v>
      </c>
      <c r="X22" s="25">
        <f t="shared" si="0"/>
        <v>41.6234782608696</v>
      </c>
      <c r="Y22" s="28">
        <f>GCC_DefaultDuty</f>
        <v>0.05</v>
      </c>
      <c r="Z22" s="29">
        <f t="shared" si="1"/>
        <v>0.005</v>
      </c>
      <c r="AA22" s="29">
        <f t="shared" si="2"/>
        <v>0.01</v>
      </c>
      <c r="AB22" s="29" t="str">
        <f t="shared" si="3"/>
        <v>Small Envelope</v>
      </c>
      <c r="AC22" s="29">
        <f>IFERROR(VLOOKUP(AB22,FBN_SizeTiers,5,FALSE),0)</f>
        <v>0.02</v>
      </c>
      <c r="AD22" s="29">
        <f>IFERROR(MIN(MAX(K22,Z22)+AC22,VLOOKUP(AB22,FBN_SizeTiers,6,FALSE)),0)</f>
        <v>0.03</v>
      </c>
      <c r="AE22" s="30">
        <f>L22/(1+KSA_VAT)*KSA_VAT</f>
        <v>1.95652173913043</v>
      </c>
      <c r="AF22" s="30">
        <f>IFERROR(IF(INDEX(Comm_Table,MATCH(C22,INDEX(Comm_Table,,1),0),10)="Fixed",L22*INDEX(Comm_Table,MATCH(C22,INDEX(Comm_Table,,1),0),11),IF(INDEX(Comm_Table,MATCH(C22,INDEX(Comm_Table,,1),0),10)="Threshold",IF(L22&lt;=INDEX(Comm_Table,MATCH(C22,INDEX(Comm_Table,,1),0),12),L22*INDEX(Comm_Table,MATCH(C22,INDEX(Comm_Table,,1),0),11),L22*INDEX(Comm_Table,MATCH(C22,INDEX(Comm_Table,,1),0),13)),MIN(L22,INDEX(Comm_Table,MATCH(C22,INDEX(Comm_Table,,1),0),12))*INDEX(Comm_Table,MATCH(C22,INDEX(Comm_Table,,1),0),11)+MAX(0,L22-INDEX(Comm_Table,MATCH(C22,INDEX(Comm_Table,,1),0),12))*INDEX(Comm_Table,MATCH(C22,INDEX(Comm_Table,,1),0),13))),0)</f>
        <v>0</v>
      </c>
      <c r="AG22" s="30">
        <f>IFERROR(IF(INDEX(Comm_Table,MATCH(C22,INDEX(Comm_Table,,1),0),14)="Fixed",L22*INDEX(Comm_Table,MATCH(C22,INDEX(Comm_Table,,1),0),15),IF(INDEX(Comm_Table,MATCH(C22,INDEX(Comm_Table,,1),0),14)="Threshold",IF(L22&lt;=INDEX(Comm_Table,MATCH(C22,INDEX(Comm_Table,,1),0),16),L22*INDEX(Comm_Table,MATCH(C22,INDEX(Comm_Table,,1),0),15),L22*INDEX(Comm_Table,MATCH(C22,INDEX(Comm_Table,,1),0),17)),MIN(L22,INDEX(Comm_Table,MATCH(C22,INDEX(Comm_Table,,1),0),16))*INDEX(Comm_Table,MATCH(C22,INDEX(Comm_Table,,1),0),15)+MAX(0,L22-INDEX(Comm_Table,MATCH(C22,INDEX(Comm_Table,,1),0),16))*INDEX(Comm_Table,MATCH(C22,INDEX(Comm_Table,,1),0),17))),0)</f>
        <v>0</v>
      </c>
      <c r="AH22" s="31">
        <f t="shared" si="4"/>
        <v>0.02</v>
      </c>
      <c r="AI22" s="31">
        <f t="shared" si="5"/>
        <v>5.5</v>
      </c>
      <c r="AJ22" s="31">
        <f>AF22*KSA_VAT</f>
        <v>0</v>
      </c>
      <c r="AK22" s="31">
        <f t="shared" si="6"/>
        <v>0.75</v>
      </c>
      <c r="AL22" s="31">
        <f t="shared" si="21"/>
        <v>0</v>
      </c>
      <c r="AM22" s="31">
        <f t="shared" si="22"/>
        <v>0</v>
      </c>
      <c r="AN22" s="31">
        <f>(AI22+KSA_Restock)*N22</f>
        <v>0.275</v>
      </c>
      <c r="AO22" s="31">
        <f>D22+AH22+(AE22+AF22+AJ22+AI22+AK22+AM22+AN22)*KSA_Exch</f>
        <v>21.3045217391304</v>
      </c>
      <c r="AP22" s="32">
        <f t="shared" si="7"/>
        <v>0.02</v>
      </c>
      <c r="AQ22" s="32">
        <f>IFERROR(INDEX(FBP_Fees,MATCH(AA22,INDEX(FBP_Fees,,1),1),IF(FBP_DeliveryMode="Drop-off",4,5)),0)</f>
        <v>0</v>
      </c>
      <c r="AR22" s="32">
        <f t="shared" si="8"/>
        <v>12</v>
      </c>
      <c r="AS22" s="32">
        <f>AG22*KSA_VAT</f>
        <v>0</v>
      </c>
      <c r="AT22" s="32">
        <f t="shared" si="9"/>
        <v>0.75</v>
      </c>
      <c r="AU22" s="32">
        <f t="shared" si="10"/>
        <v>0</v>
      </c>
      <c r="AV22" s="32">
        <f>(AQ22+KSA_Restock)*N22</f>
        <v>0</v>
      </c>
      <c r="AW22" s="32">
        <f>D22+AP22+(AE22+AG22+AS22+AQ22+AT22+AU22+AV22)*KSA_Exch</f>
        <v>10.2165217391304</v>
      </c>
      <c r="AX22" s="33">
        <f t="shared" si="11"/>
        <v>6.5</v>
      </c>
      <c r="AY22" s="33">
        <f>IFERROR(INDEX(FBP_Fees,MATCH(AA22,INDEX(FBP_Fees,,1),1),IF(FBP_DeliveryMode="Drop-off",4,5)),0)</f>
        <v>0</v>
      </c>
      <c r="AZ22" s="33">
        <f t="shared" si="12"/>
        <v>12</v>
      </c>
      <c r="BA22" s="33">
        <f>AG22*KSA_VAT</f>
        <v>0</v>
      </c>
      <c r="BB22" s="33">
        <f t="shared" si="13"/>
        <v>0.75</v>
      </c>
      <c r="BC22" s="33">
        <f t="shared" si="14"/>
        <v>0</v>
      </c>
      <c r="BD22" s="33">
        <f>(AX22/KSA_Exch+AY22+KSA_Restock)*N22</f>
        <v>0.169270833333333</v>
      </c>
      <c r="BE22" s="33">
        <f>D22+AX22+(AE22+AG22+BA22+AY22+BB22+BC22+BD22)*KSA_Exch</f>
        <v>17.0215217391304</v>
      </c>
      <c r="BF22" s="34">
        <f>(L22/1.05/USD_AED)*USD_SAR</f>
        <v>14.5971195017517</v>
      </c>
      <c r="BG22" s="34">
        <f t="shared" si="15"/>
        <v>0.729855975087583</v>
      </c>
      <c r="BH22" s="34">
        <f>MAX(KSA_ClearanceFeeMin,MIN(KSA_ClearanceFeeMax,BF22*KSA_ClearanceFeeRate))</f>
        <v>15</v>
      </c>
      <c r="BI22" s="34">
        <f>(BF22+BG22)*KSA_VAT</f>
        <v>2.29904632152589</v>
      </c>
      <c r="BJ22" s="34">
        <f>(BF22+BG22+BH22)*(1+KSA_VAT)</f>
        <v>34.8760217983651</v>
      </c>
      <c r="BK22" s="34">
        <f>L22*CrossBorderFeeRate</f>
        <v>0.75</v>
      </c>
      <c r="BL22" s="34">
        <f t="shared" si="16"/>
        <v>0</v>
      </c>
      <c r="BM22" s="34">
        <f>BL22*UAE_VAT</f>
        <v>0</v>
      </c>
      <c r="BN22" s="34">
        <f t="shared" si="17"/>
        <v>0.75</v>
      </c>
      <c r="BO22" s="34">
        <f t="shared" si="18"/>
        <v>0</v>
      </c>
      <c r="BP22" s="34">
        <f t="shared" si="19"/>
        <v>0.901445114830673</v>
      </c>
      <c r="BQ22" s="34">
        <f>D22+AH22+(BK22+BL22+BM22+BN22+BO22+AI22)*UAE_Exch+(BP22)*KSA_Exch</f>
        <v>20.4707746204749</v>
      </c>
    </row>
  </sheetData>
  <mergeCells count="7">
    <mergeCell ref="A1:N1"/>
    <mergeCell ref="O1:X1"/>
    <mergeCell ref="Y1:AG1"/>
    <mergeCell ref="AH1:AO1"/>
    <mergeCell ref="AP1:AW1"/>
    <mergeCell ref="AX1:BE1"/>
    <mergeCell ref="BF1:BQ1"/>
  </mergeCells>
  <conditionalFormatting sqref="O3:O22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P3:P22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Q3:Q22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R3:R22"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S3:S22">
    <cfRule type="cellIs" dxfId="0" priority="9" operator="greaterThan">
      <formula>0</formula>
    </cfRule>
    <cfRule type="cellIs" dxfId="1" priority="10" operator="lessThan">
      <formula>0</formula>
    </cfRule>
  </conditionalFormatting>
  <conditionalFormatting sqref="T3:T22">
    <cfRule type="cellIs" dxfId="0" priority="11" operator="greaterThan">
      <formula>0</formula>
    </cfRule>
    <cfRule type="cellIs" dxfId="1" priority="12" operator="lessThan">
      <formula>0</formula>
    </cfRule>
  </conditionalFormatting>
  <conditionalFormatting sqref="U3:U22">
    <cfRule type="cellIs" dxfId="0" priority="13" operator="greaterThan">
      <formula>0</formula>
    </cfRule>
    <cfRule type="cellIs" dxfId="1" priority="14" operator="lessThan">
      <formula>0</formula>
    </cfRule>
  </conditionalFormatting>
  <conditionalFormatting sqref="V3:V22">
    <cfRule type="cellIs" dxfId="0" priority="15" operator="greaterThan">
      <formula>0</formula>
    </cfRule>
    <cfRule type="cellIs" dxfId="1" priority="16" operator="lessThan">
      <formula>0</formula>
    </cfRule>
  </conditionalFormatting>
  <conditionalFormatting sqref="X3:X22">
    <cfRule type="cellIs" dxfId="0" priority="17" operator="greaterThan">
      <formula>0</formula>
    </cfRule>
    <cfRule type="cellIs" dxfId="1" priority="18" operator="lessThan">
      <formula>0</formula>
    </cfRule>
  </conditionalFormatting>
  <dataValidations count="1">
    <dataValidation type="list" allowBlank="1" error="请从佣金表中选择类目" sqref="C3:C22">
      <formula1>Config!$A$24:$A$81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UAE_Pricing</vt:lpstr>
      <vt:lpstr>KSA_Pricing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</cp:lastModifiedBy>
  <dcterms:created xsi:type="dcterms:W3CDTF">2026-03-16T01:27:00Z</dcterms:created>
  <dcterms:modified xsi:type="dcterms:W3CDTF">2026-03-16T02:00:45Z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599492D36533A8D1CDF3B6697BCA35CF_42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